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CIONES" sheetId="1" state="visible" r:id="rId1"/>
    <sheet name="PLAN" sheetId="2" state="visible" r:id="rId2"/>
    <sheet name="F_EMITIDAS" sheetId="3" state="visible" r:id="rId3"/>
    <sheet name="F_RECIBIDAS" sheetId="4" state="visible" r:id="rId4"/>
    <sheet name="BANCO" sheetId="5" state="visible" r:id="rId5"/>
    <sheet name="NOMINAS" sheetId="6" state="visible" r:id="rId6"/>
    <sheet name="IVA_303" sheetId="7" state="visible" r:id="rId7"/>
    <sheet name="RETENCIONES" sheetId="8" state="visible" r:id="rId8"/>
    <sheet name="CONTROL" sheetId="9" state="visible" r:id="rId9"/>
    <sheet name="MAESTRO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DD/MM/YYYY"/>
    <numFmt numFmtId="166" formatCode="0.0%"/>
    <numFmt numFmtId="167" formatCode="#,##0.00 [$€-C0A];[RED]-#,##0.00 [$€-C0A];&quot;-&quot;"/>
  </numFmts>
  <fonts count="1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i val="1"/>
      <color rgb="00595959"/>
      <sz val="9"/>
    </font>
    <font>
      <name val="Arial"/>
      <b val="1"/>
      <sz val="10"/>
    </font>
    <font>
      <name val="Arial"/>
      <sz val="10"/>
    </font>
    <font>
      <name val="Arial"/>
      <b val="1"/>
      <color rgb="001F3864"/>
      <sz val="11"/>
    </font>
    <font>
      <name val="Arial"/>
      <b val="1"/>
      <color rgb="000000FF"/>
      <sz val="10"/>
    </font>
    <font>
      <name val="Arial"/>
      <b val="1"/>
      <color rgb="00000000"/>
      <sz val="10"/>
    </font>
    <font>
      <name val="Arial"/>
      <b val="1"/>
      <color rgb="00008000"/>
      <sz val="10"/>
    </font>
    <font>
      <name val="Arial"/>
      <b val="1"/>
      <color rgb="00FFFFFF"/>
      <sz val="11"/>
    </font>
    <font>
      <name val="Arial"/>
      <color rgb="00000000"/>
      <sz val="10"/>
    </font>
    <font>
      <name val="Arial"/>
      <color rgb="000000FF"/>
      <sz val="10"/>
    </font>
    <font>
      <name val="Arial"/>
      <b val="1"/>
      <color rgb="001F3864"/>
      <sz val="12"/>
    </font>
    <font>
      <name val="Arial"/>
      <b val="1"/>
      <color rgb="001F3864"/>
      <sz val="10"/>
    </font>
    <font>
      <name val="Arial"/>
      <color rgb="00008000"/>
      <sz val="10"/>
    </font>
    <font>
      <name val="Arial"/>
      <b val="1"/>
      <sz val="11"/>
    </font>
  </fonts>
  <fills count="7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1F3864"/>
      </patternFill>
    </fill>
    <fill>
      <patternFill patternType="solid">
        <fgColor rgb="00FFE699"/>
      </patternFill>
    </fill>
    <fill>
      <patternFill patternType="solid">
        <fgColor rgb="00D9E2F3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3" fillId="2" borderId="0" pivotButton="0" quotePrefix="0" xfId="0"/>
    <xf numFmtId="0" fontId="9" fillId="3" borderId="1" applyAlignment="1" pivotButton="0" quotePrefix="0" xfId="0">
      <alignment horizontal="center" vertical="center" wrapText="1"/>
    </xf>
    <xf numFmtId="0" fontId="4" fillId="4" borderId="1" pivotButton="0" quotePrefix="0" xfId="0"/>
    <xf numFmtId="0" fontId="3" fillId="4" borderId="1" pivotButton="0" quotePrefix="0" xfId="0"/>
    <xf numFmtId="165" fontId="4" fillId="4" borderId="1" pivotButton="0" quotePrefix="0" xfId="0"/>
    <xf numFmtId="0" fontId="10" fillId="4" borderId="1" pivotButton="0" quotePrefix="0" xfId="0"/>
    <xf numFmtId="0" fontId="11" fillId="4" borderId="1" pivotButton="0" quotePrefix="0" xfId="0"/>
    <xf numFmtId="0" fontId="2" fillId="4" borderId="1" pivotButton="0" quotePrefix="0" xfId="0"/>
    <xf numFmtId="0" fontId="4" fillId="0" borderId="1" pivotButton="0" quotePrefix="0" xfId="0"/>
    <xf numFmtId="165" fontId="4" fillId="0" borderId="1" pivotButton="0" quotePrefix="0" xfId="0"/>
    <xf numFmtId="0" fontId="10" fillId="0" borderId="1" pivotButton="0" quotePrefix="0" xfId="0"/>
    <xf numFmtId="0" fontId="11" fillId="2" borderId="1" pivotButton="0" quotePrefix="0" xfId="0"/>
    <xf numFmtId="0" fontId="2" fillId="0" borderId="1" pivotButton="0" quotePrefix="0" xfId="0"/>
    <xf numFmtId="166" fontId="10" fillId="0" borderId="0" pivotButton="0" quotePrefix="0" xfId="0"/>
    <xf numFmtId="0" fontId="11" fillId="0" borderId="1" pivotButton="0" quotePrefix="0" xfId="0"/>
    <xf numFmtId="165" fontId="11" fillId="0" borderId="1" pivotButton="0" quotePrefix="0" xfId="0"/>
    <xf numFmtId="167" fontId="11" fillId="0" borderId="1" pivotButton="0" quotePrefix="0" xfId="0"/>
    <xf numFmtId="166" fontId="11" fillId="0" borderId="1" pivotButton="0" quotePrefix="0" xfId="0"/>
    <xf numFmtId="167" fontId="10" fillId="0" borderId="1" pivotButton="0" quotePrefix="0" xfId="0"/>
    <xf numFmtId="0" fontId="0" fillId="0" borderId="1" pivotButton="0" quotePrefix="0" xfId="0"/>
    <xf numFmtId="167" fontId="11" fillId="2" borderId="1" pivotButton="0" quotePrefix="0" xfId="0"/>
    <xf numFmtId="0" fontId="12" fillId="0" borderId="0" pivotButton="0" quotePrefix="0" xfId="0"/>
    <xf numFmtId="0" fontId="3" fillId="5" borderId="1" applyAlignment="1" pivotButton="0" quotePrefix="0" xfId="0">
      <alignment horizontal="center" vertical="center" wrapText="1"/>
    </xf>
    <xf numFmtId="0" fontId="13" fillId="0" borderId="0" pivotButton="0" quotePrefix="0" xfId="0"/>
    <xf numFmtId="167" fontId="14" fillId="0" borderId="1" pivotButton="0" quotePrefix="0" xfId="0"/>
    <xf numFmtId="0" fontId="3" fillId="0" borderId="1" pivotButton="0" quotePrefix="0" xfId="0"/>
    <xf numFmtId="167" fontId="10" fillId="6" borderId="1" pivotButton="0" quotePrefix="0" xfId="0"/>
    <xf numFmtId="167" fontId="10" fillId="2" borderId="1" pivotButton="0" quotePrefix="0" xfId="0"/>
    <xf numFmtId="167" fontId="10" fillId="5" borderId="1" pivotButton="0" quotePrefix="0" xfId="0"/>
    <xf numFmtId="0" fontId="1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4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0" customWidth="1" min="2" max="2"/>
    <col width="95" customWidth="1" min="3" max="3"/>
  </cols>
  <sheetData>
    <row r="1">
      <c r="A1" s="1" t="inlineStr">
        <is>
          <t>CONTABILIDAD 3T 2026 — RP CHARGER SL y PROIM BALEAR SL</t>
        </is>
      </c>
    </row>
    <row r="2">
      <c r="A2" s="2" t="inlineStr">
        <is>
          <t>Julio, agosto y septiembre de 2026. Primer trimestre construido con este modelo.</t>
        </is>
      </c>
    </row>
    <row r="4">
      <c r="B4" s="3" t="inlineStr"/>
      <c r="C4" s="4" t="inlineStr"/>
    </row>
    <row r="5">
      <c r="B5" s="5" t="inlineStr">
        <is>
          <t>QUÉ ES ESTO</t>
        </is>
      </c>
      <c r="C5" s="4" t="inlineStr"/>
    </row>
    <row r="6">
      <c r="B6" s="3" t="inlineStr"/>
      <c r="C6" s="4" t="inlineStr">
        <is>
          <t>El cuaderno donde se hace la contabilidad del trimestre. Entran facturas, movimientos de banco</t>
        </is>
      </c>
    </row>
    <row r="7">
      <c r="B7" s="3" t="inlineStr"/>
      <c r="C7" s="4" t="inlineStr">
        <is>
          <t>y nóminas; sale el asiento en formato de importación a ContaSOL y la liquidación de IVA.</t>
        </is>
      </c>
    </row>
    <row r="8">
      <c r="B8" s="3" t="inlineStr"/>
      <c r="C8" s="4" t="inlineStr">
        <is>
          <t>No sustituye a ContaSOL: prepara lo que se importa en él.</t>
        </is>
      </c>
    </row>
    <row r="9">
      <c r="B9" s="3" t="inlineStr"/>
      <c r="C9" s="4" t="inlineStr"/>
    </row>
    <row r="10">
      <c r="B10" s="5" t="inlineStr">
        <is>
          <t>EL MÉTODO, EN CINCO PASOS</t>
        </is>
      </c>
      <c r="C10" s="4" t="inlineStr"/>
    </row>
    <row r="11">
      <c r="B11" s="3" t="inlineStr">
        <is>
          <t>1. Facturas</t>
        </is>
      </c>
      <c r="C11" s="4" t="inlineStr">
        <is>
          <t>Se vuelcan las emitidas y las recibidas del trimestre con su base, tipo y cuota.</t>
        </is>
      </c>
    </row>
    <row r="12">
      <c r="B12" s="3" t="inlineStr">
        <is>
          <t>2. Banco</t>
        </is>
      </c>
      <c r="C12" s="4" t="inlineStr">
        <is>
          <t>Cada movimiento con su contrapartida. Lo que no se sepa va a la cuenta de dudas.</t>
        </is>
      </c>
    </row>
    <row r="13">
      <c r="B13" s="3" t="inlineStr">
        <is>
          <t>3. Nóminas</t>
        </is>
      </c>
      <c r="C13" s="4" t="inlineStr">
        <is>
          <t>El asiento mensual que ya produce /generar-apu-nominas.</t>
        </is>
      </c>
    </row>
    <row r="14">
      <c r="B14" s="3" t="inlineStr">
        <is>
          <t>4. Asientos</t>
        </is>
      </c>
      <c r="C14" s="4" t="inlineStr">
        <is>
          <t>Se consolida todo y se comprueba que DEBE = HABER.</t>
        </is>
      </c>
    </row>
    <row r="15">
      <c r="B15" s="3" t="inlineStr">
        <is>
          <t>5. IVA</t>
        </is>
      </c>
      <c r="C15" s="4" t="inlineStr">
        <is>
          <t>La liquidación sale de las facturas, no de los asientos: así son dos cálculos</t>
        </is>
      </c>
    </row>
    <row r="16">
      <c r="B16" s="3" t="inlineStr"/>
      <c r="C16" s="4" t="inlineStr">
        <is>
          <t>independientes que tienen que dar lo mismo. Si no coinciden, hay un error.</t>
        </is>
      </c>
    </row>
    <row r="17">
      <c r="B17" s="3" t="inlineStr"/>
      <c r="C17" s="4" t="inlineStr"/>
    </row>
    <row r="18">
      <c r="B18" s="5" t="inlineStr">
        <is>
          <t>REGLA DE ORO</t>
        </is>
      </c>
      <c r="C18" s="4" t="inlineStr"/>
    </row>
    <row r="19">
      <c r="B19" s="3" t="inlineStr"/>
      <c r="C19" s="4" t="inlineStr">
        <is>
          <t>No se inventa un apunte para poder continuar. Lo que no esté claro va a la cuenta de dudas</t>
        </is>
      </c>
    </row>
    <row r="20">
      <c r="B20" s="3" t="inlineStr"/>
      <c r="C20" s="4" t="inlineStr">
        <is>
          <t>(555000000 en RP, 555000002 en PROIM) y se pregunta. Es la misma regla que ya gobierna</t>
        </is>
      </c>
    </row>
    <row r="21">
      <c r="B21" s="3" t="inlineStr"/>
      <c r="C21" s="4" t="inlineStr">
        <is>
          <t>las conciliaciones, y aquí importa más, porque esto acaba en los libros oficiales.</t>
        </is>
      </c>
    </row>
    <row r="22">
      <c r="B22" s="3" t="inlineStr"/>
      <c r="C22" s="4" t="inlineStr"/>
    </row>
    <row r="23">
      <c r="B23" s="5" t="inlineStr">
        <is>
          <t>COLORES</t>
        </is>
      </c>
      <c r="C23" s="4" t="inlineStr"/>
    </row>
    <row r="24">
      <c r="B24" s="6" t="inlineStr">
        <is>
          <t>Azul</t>
        </is>
      </c>
      <c r="C24" s="4" t="inlineStr">
        <is>
          <t>Se teclea. Es un dato que viene de un documento real.</t>
        </is>
      </c>
    </row>
    <row r="25">
      <c r="B25" s="7" t="inlineStr">
        <is>
          <t>Negro</t>
        </is>
      </c>
      <c r="C25" s="4" t="inlineStr">
        <is>
          <t>Fórmula. No se toca.</t>
        </is>
      </c>
    </row>
    <row r="26">
      <c r="B26" s="8" t="inlineStr">
        <is>
          <t>Verde</t>
        </is>
      </c>
      <c r="C26" s="4" t="inlineStr">
        <is>
          <t>Viene de otra hoja de este mismo cuaderno.</t>
        </is>
      </c>
    </row>
    <row r="27">
      <c r="B27" s="9" t="inlineStr">
        <is>
          <t>Fondo amarillo</t>
        </is>
      </c>
      <c r="C27" s="4" t="inlineStr">
        <is>
          <t>Pendiente de rellenar.</t>
        </is>
      </c>
    </row>
    <row r="28">
      <c r="B28" s="3" t="inlineStr"/>
      <c r="C28" s="4" t="inlineStr"/>
    </row>
    <row r="29">
      <c r="B29" s="5" t="inlineStr">
        <is>
          <t>ANTES DE IMPORTAR A CONTASOL</t>
        </is>
      </c>
      <c r="C29" s="4" t="inlineStr"/>
    </row>
    <row r="30">
      <c r="B30" s="3" t="inlineStr"/>
      <c r="C30" s="4" t="inlineStr">
        <is>
          <t>Mirar la hoja CONTROL. Si algún cuadre sale en rojo, no se importa: se corrige primero.</t>
        </is>
      </c>
    </row>
    <row r="31">
      <c r="B31" s="3" t="inlineStr"/>
      <c r="C31" s="4" t="inlineStr"/>
    </row>
    <row r="32">
      <c r="B32" s="5" t="inlineStr">
        <is>
          <t>AVISO</t>
        </is>
      </c>
      <c r="C32" s="4" t="inlineStr"/>
    </row>
    <row r="33">
      <c r="B33" s="3" t="inlineStr"/>
      <c r="C33" s="4" t="inlineStr">
        <is>
          <t>Los tipos, umbrales y plazos hay que verificarlos contra la normativa vigente en AEAT.</t>
        </is>
      </c>
    </row>
    <row r="34">
      <c r="B34" s="3" t="inlineStr"/>
      <c r="C34" s="4" t="inlineStr">
        <is>
          <t>Este cuaderno prepara el trabajo; la declaración la revisa y firma el asesor fiscal.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3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22" customWidth="1" min="2" max="2"/>
    <col width="58" customWidth="1" min="3" max="3"/>
    <col width="14" customWidth="1" min="4" max="4"/>
    <col width="12" customWidth="1" min="5" max="5"/>
    <col width="12" customWidth="1" min="6" max="6"/>
    <col width="8" customWidth="1" min="7" max="7"/>
    <col width="16" customWidth="1" min="8" max="8"/>
    <col width="16" customWidth="1" min="9" max="9"/>
    <col width="50" customWidth="1" min="10" max="10"/>
  </cols>
  <sheetData>
    <row r="1">
      <c r="A1" s="1" t="inlineStr">
        <is>
          <t>Plan del 3T 2026</t>
        </is>
      </c>
    </row>
    <row r="2">
      <c r="A2" s="2" t="inlineStr">
        <is>
          <t>Hoy: 19/09/2026. La ruta crítica es reclamar las facturas que faltan: es lo único que depende de terceros.</t>
        </is>
      </c>
    </row>
    <row r="4" ht="30" customHeight="1">
      <c r="A4" s="10" t="inlineStr">
        <is>
          <t>#</t>
        </is>
      </c>
      <c r="B4" s="10" t="inlineStr">
        <is>
          <t>BLOQUE</t>
        </is>
      </c>
      <c r="C4" s="10" t="inlineStr">
        <is>
          <t>TAREA</t>
        </is>
      </c>
      <c r="D4" s="10" t="inlineStr">
        <is>
          <t>EMPRESA</t>
        </is>
      </c>
      <c r="E4" s="10" t="inlineStr">
        <is>
          <t>DESDE</t>
        </is>
      </c>
      <c r="F4" s="10" t="inlineStr">
        <is>
          <t>HASTA</t>
        </is>
      </c>
      <c r="G4" s="10" t="inlineStr">
        <is>
          <t>DÍAS</t>
        </is>
      </c>
      <c r="H4" s="10" t="inlineStr">
        <is>
          <t>RESPONSABLE</t>
        </is>
      </c>
      <c r="I4" s="10" t="inlineStr">
        <is>
          <t>ESTADO</t>
        </is>
      </c>
      <c r="J4" s="10" t="inlineStr">
        <is>
          <t>NOTA</t>
        </is>
      </c>
    </row>
    <row r="5">
      <c r="A5" s="11" t="n">
        <v>1</v>
      </c>
      <c r="B5" s="12" t="inlineStr">
        <is>
          <t>RUTA CRÍTICA</t>
        </is>
      </c>
      <c r="C5" s="11" t="inlineStr">
        <is>
          <t>Sacar la lista de facturas de proveedor que faltan (julio y agosto)</t>
        </is>
      </c>
      <c r="D5" s="11" t="inlineStr">
        <is>
          <t>Las dos</t>
        </is>
      </c>
      <c r="E5" s="13" t="n">
        <v>46284</v>
      </c>
      <c r="F5" s="13" t="n">
        <v>46287</v>
      </c>
      <c r="G5" s="14">
        <f>F5-E5</f>
        <v/>
      </c>
      <c r="H5" s="11" t="inlineStr">
        <is>
          <t>Contable</t>
        </is>
      </c>
      <c r="I5" s="15" t="inlineStr">
        <is>
          <t>PENDIENTE</t>
        </is>
      </c>
      <c r="J5" s="16" t="inlineStr">
        <is>
          <t>De la hoja FALTAN de PENDIENTES_*.xlsx</t>
        </is>
      </c>
    </row>
    <row r="6">
      <c r="A6" s="11" t="n">
        <v>2</v>
      </c>
      <c r="B6" s="12" t="inlineStr">
        <is>
          <t>RUTA CRÍTICA</t>
        </is>
      </c>
      <c r="C6" s="11" t="inlineStr">
        <is>
          <t>Reclamar esas facturas a cada proveedor</t>
        </is>
      </c>
      <c r="D6" s="11" t="inlineStr">
        <is>
          <t>Las dos</t>
        </is>
      </c>
      <c r="E6" s="13" t="n">
        <v>46287</v>
      </c>
      <c r="F6" s="13" t="n">
        <v>46291</v>
      </c>
      <c r="G6" s="14">
        <f>F6-E6</f>
        <v/>
      </c>
      <c r="H6" s="11" t="inlineStr">
        <is>
          <t>Administración</t>
        </is>
      </c>
      <c r="I6" s="15" t="inlineStr">
        <is>
          <t>PENDIENTE</t>
        </is>
      </c>
      <c r="J6" s="16" t="inlineStr">
        <is>
          <t>Un proveedor tarda 1-2 semanas. Por eso va primero</t>
        </is>
      </c>
    </row>
    <row r="7">
      <c r="A7" s="17" t="n">
        <v>3</v>
      </c>
      <c r="B7" s="17" t="inlineStr">
        <is>
          <t>Documentación</t>
        </is>
      </c>
      <c r="C7" s="17" t="inlineStr">
        <is>
          <t>Cerrar julio y agosto: extractos y justificantes completos</t>
        </is>
      </c>
      <c r="D7" s="17" t="inlineStr">
        <is>
          <t>Las dos</t>
        </is>
      </c>
      <c r="E7" s="18" t="n">
        <v>46284</v>
      </c>
      <c r="F7" s="18" t="n">
        <v>46291</v>
      </c>
      <c r="G7" s="19">
        <f>F7-E7</f>
        <v/>
      </c>
      <c r="H7" s="17" t="inlineStr">
        <is>
          <t>Contable</t>
        </is>
      </c>
      <c r="I7" s="20" t="inlineStr">
        <is>
          <t>PENDIENTE</t>
        </is>
      </c>
      <c r="J7" s="21" t="inlineStr">
        <is>
          <t>/descargar-bancos + /clasificar-comunicados-bancos</t>
        </is>
      </c>
    </row>
    <row r="8">
      <c r="A8" s="17" t="n">
        <v>4</v>
      </c>
      <c r="B8" s="17" t="inlineStr">
        <is>
          <t>Documentación</t>
        </is>
      </c>
      <c r="C8" s="17" t="inlineStr">
        <is>
          <t>Septiembre parcial 01-15: extracto y papeles</t>
        </is>
      </c>
      <c r="D8" s="17" t="inlineStr">
        <is>
          <t>Las dos</t>
        </is>
      </c>
      <c r="E8" s="18" t="n">
        <v>46287</v>
      </c>
      <c r="F8" s="18" t="n">
        <v>46291</v>
      </c>
      <c r="G8" s="19">
        <f>F8-E8</f>
        <v/>
      </c>
      <c r="H8" s="17" t="inlineStr">
        <is>
          <t>Contable</t>
        </is>
      </c>
      <c r="I8" s="20" t="inlineStr">
        <is>
          <t>PENDIENTE</t>
        </is>
      </c>
      <c r="J8" s="21" t="inlineStr">
        <is>
          <t>Adelanta trabajo; el mes entero se baja después</t>
        </is>
      </c>
    </row>
    <row r="9">
      <c r="A9" s="17" t="n">
        <v>5</v>
      </c>
      <c r="B9" s="17" t="inlineStr">
        <is>
          <t>Contabilización</t>
        </is>
      </c>
      <c r="C9" s="17" t="inlineStr">
        <is>
          <t>Volcar facturas emitidas y recibidas de julio y agosto</t>
        </is>
      </c>
      <c r="D9" s="17" t="inlineStr">
        <is>
          <t>Las dos</t>
        </is>
      </c>
      <c r="E9" s="18" t="n">
        <v>46291</v>
      </c>
      <c r="F9" s="18" t="n">
        <v>46298</v>
      </c>
      <c r="G9" s="19">
        <f>F9-E9</f>
        <v/>
      </c>
      <c r="H9" s="17" t="inlineStr">
        <is>
          <t>Contable</t>
        </is>
      </c>
      <c r="I9" s="20" t="inlineStr">
        <is>
          <t>PENDIENTE</t>
        </is>
      </c>
      <c r="J9" s="21" t="inlineStr">
        <is>
          <t>Hojas F_EMITIDAS y F_RECIBIDAS</t>
        </is>
      </c>
    </row>
    <row r="10">
      <c r="A10" s="17" t="n">
        <v>6</v>
      </c>
      <c r="B10" s="17" t="inlineStr">
        <is>
          <t>Contabilización</t>
        </is>
      </c>
      <c r="C10" s="17" t="inlineStr">
        <is>
          <t>TPV: comprobar que se contabiliza el bruto y la comisión aparte</t>
        </is>
      </c>
      <c r="D10" s="17" t="inlineStr">
        <is>
          <t>RP CHARGER</t>
        </is>
      </c>
      <c r="E10" s="18" t="n">
        <v>46291</v>
      </c>
      <c r="F10" s="18" t="n">
        <v>46298</v>
      </c>
      <c r="G10" s="19">
        <f>F10-E10</f>
        <v/>
      </c>
      <c r="H10" s="17" t="inlineStr">
        <is>
          <t>Contable</t>
        </is>
      </c>
      <c r="I10" s="20" t="inlineStr">
        <is>
          <t>PENDIENTE</t>
        </is>
      </c>
      <c r="J10" s="21" t="inlineStr">
        <is>
          <t>/depurar-extracto-tpv da la columna COMISION OPERACION</t>
        </is>
      </c>
    </row>
    <row r="11">
      <c r="A11" s="17" t="n">
        <v>7</v>
      </c>
      <c r="B11" s="17" t="inlineStr">
        <is>
          <t>Documentación</t>
        </is>
      </c>
      <c r="C11" s="17" t="inlineStr">
        <is>
          <t>Septiembre entero: extracto y papeles del 16 al 30</t>
        </is>
      </c>
      <c r="D11" s="17" t="inlineStr">
        <is>
          <t>Las dos</t>
        </is>
      </c>
      <c r="E11" s="18" t="n">
        <v>46296</v>
      </c>
      <c r="F11" s="18" t="n">
        <v>46300</v>
      </c>
      <c r="G11" s="19">
        <f>F11-E11</f>
        <v/>
      </c>
      <c r="H11" s="17" t="inlineStr">
        <is>
          <t>Contable</t>
        </is>
      </c>
      <c r="I11" s="20" t="inlineStr">
        <is>
          <t>PENDIENTE</t>
        </is>
      </c>
      <c r="J11" s="21" t="inlineStr">
        <is>
          <t>Se borra el parcial cuando el entero lo cubra</t>
        </is>
      </c>
    </row>
    <row r="12">
      <c r="A12" s="17" t="n">
        <v>8</v>
      </c>
      <c r="B12" s="17" t="inlineStr">
        <is>
          <t>Contabilización</t>
        </is>
      </c>
      <c r="C12" s="17" t="inlineStr">
        <is>
          <t>Nóminas de julio, agosto y septiembre</t>
        </is>
      </c>
      <c r="D12" s="17" t="inlineStr">
        <is>
          <t>Las dos</t>
        </is>
      </c>
      <c r="E12" s="18" t="n">
        <v>46296</v>
      </c>
      <c r="F12" s="18" t="n">
        <v>46301</v>
      </c>
      <c r="G12" s="19">
        <f>F12-E12</f>
        <v/>
      </c>
      <c r="H12" s="17" t="inlineStr">
        <is>
          <t>Contable</t>
        </is>
      </c>
      <c r="I12" s="20" t="inlineStr">
        <is>
          <t>PENDIENTE</t>
        </is>
      </c>
      <c r="J12" s="21" t="inlineStr">
        <is>
          <t>/generar-apu-nominas. En RP se suman 00094+00095+00096</t>
        </is>
      </c>
    </row>
    <row r="13">
      <c r="A13" s="17" t="n">
        <v>9</v>
      </c>
      <c r="B13" s="17" t="inlineStr">
        <is>
          <t>Contabilización</t>
        </is>
      </c>
      <c r="C13" s="17" t="inlineStr">
        <is>
          <t>Volcar facturas de septiembre</t>
        </is>
      </c>
      <c r="D13" s="17" t="inlineStr">
        <is>
          <t>Las dos</t>
        </is>
      </c>
      <c r="E13" s="18" t="n">
        <v>46300</v>
      </c>
      <c r="F13" s="18" t="n">
        <v>46303</v>
      </c>
      <c r="G13" s="19">
        <f>F13-E13</f>
        <v/>
      </c>
      <c r="H13" s="17" t="inlineStr">
        <is>
          <t>Contable</t>
        </is>
      </c>
      <c r="I13" s="20" t="inlineStr">
        <is>
          <t>PENDIENTE</t>
        </is>
      </c>
      <c r="J13" s="21" t="inlineStr"/>
    </row>
    <row r="14">
      <c r="A14" s="17" t="n">
        <v>10</v>
      </c>
      <c r="B14" s="17" t="inlineStr">
        <is>
          <t>Conciliación</t>
        </is>
      </c>
      <c r="C14" s="17" t="inlineStr">
        <is>
          <t>Contrapartidas de los tres meses</t>
        </is>
      </c>
      <c r="D14" s="17" t="inlineStr">
        <is>
          <t>Las dos</t>
        </is>
      </c>
      <c r="E14" s="18" t="n">
        <v>46301</v>
      </c>
      <c r="F14" s="18" t="n">
        <v>46305</v>
      </c>
      <c r="G14" s="19">
        <f>F14-E14</f>
        <v/>
      </c>
      <c r="H14" s="17" t="inlineStr">
        <is>
          <t>Contable</t>
        </is>
      </c>
      <c r="I14" s="20" t="inlineStr">
        <is>
          <t>PENDIENTE</t>
        </is>
      </c>
      <c r="J14" s="21" t="inlineStr">
        <is>
          <t>/conciliar-caixa-rpcharger y /conciliar-banco-proim</t>
        </is>
      </c>
    </row>
    <row r="15">
      <c r="A15" s="17" t="n">
        <v>11</v>
      </c>
      <c r="B15" s="17" t="inlineStr">
        <is>
          <t>Conciliación</t>
        </is>
      </c>
      <c r="C15" s="17" t="inlineStr">
        <is>
          <t>Resolver las dudas de la 555 y dejarla a cero</t>
        </is>
      </c>
      <c r="D15" s="17" t="inlineStr">
        <is>
          <t>Las dos</t>
        </is>
      </c>
      <c r="E15" s="18" t="n">
        <v>46303</v>
      </c>
      <c r="F15" s="18" t="n">
        <v>46307</v>
      </c>
      <c r="G15" s="19">
        <f>F15-E15</f>
        <v/>
      </c>
      <c r="H15" s="17" t="inlineStr">
        <is>
          <t>Dirección</t>
        </is>
      </c>
      <c r="I15" s="20" t="inlineStr">
        <is>
          <t>PENDIENTE</t>
        </is>
      </c>
      <c r="J15" s="21" t="inlineStr">
        <is>
          <t>Cada euro en la 555 es contabilidad sin terminar</t>
        </is>
      </c>
    </row>
    <row r="16">
      <c r="A16" s="17" t="n">
        <v>12</v>
      </c>
      <c r="B16" s="17" t="inlineStr">
        <is>
          <t>Control</t>
        </is>
      </c>
      <c r="C16" s="17" t="inlineStr">
        <is>
          <t>Cuadrar banco contra contabilidad, cuenta por cuenta</t>
        </is>
      </c>
      <c r="D16" s="17" t="inlineStr">
        <is>
          <t>Las dos</t>
        </is>
      </c>
      <c r="E16" s="18" t="n">
        <v>46305</v>
      </c>
      <c r="F16" s="18" t="n">
        <v>46307</v>
      </c>
      <c r="G16" s="19">
        <f>F16-E16</f>
        <v/>
      </c>
      <c r="H16" s="17" t="inlineStr">
        <is>
          <t>Contable</t>
        </is>
      </c>
      <c r="I16" s="20" t="inlineStr">
        <is>
          <t>PENDIENTE</t>
        </is>
      </c>
      <c r="J16" s="21" t="inlineStr">
        <is>
          <t>Hoja CONTROL</t>
        </is>
      </c>
    </row>
    <row r="17">
      <c r="A17" s="17" t="n">
        <v>13</v>
      </c>
      <c r="B17" s="17" t="inlineStr">
        <is>
          <t>Control</t>
        </is>
      </c>
      <c r="C17" s="17" t="inlineStr">
        <is>
          <t>Revisión fiscal del trimestre</t>
        </is>
      </c>
      <c r="D17" s="17" t="inlineStr">
        <is>
          <t>Las dos</t>
        </is>
      </c>
      <c r="E17" s="18" t="n">
        <v>46307</v>
      </c>
      <c r="F17" s="18" t="n">
        <v>46309</v>
      </c>
      <c r="G17" s="19">
        <f>F17-E17</f>
        <v/>
      </c>
      <c r="H17" s="17" t="inlineStr">
        <is>
          <t>Contable</t>
        </is>
      </c>
      <c r="I17" s="20" t="inlineStr">
        <is>
          <t>PENDIENTE</t>
        </is>
      </c>
      <c r="J17" s="21" t="inlineStr">
        <is>
          <t>/revisar-contabilidad</t>
        </is>
      </c>
    </row>
    <row r="18">
      <c r="A18" s="17" t="n">
        <v>14</v>
      </c>
      <c r="B18" s="17" t="inlineStr">
        <is>
          <t>Declaración</t>
        </is>
      </c>
      <c r="C18" s="17" t="inlineStr">
        <is>
          <t>Liquidación del IVA y cuadre del 303</t>
        </is>
      </c>
      <c r="D18" s="17" t="inlineStr">
        <is>
          <t>Las dos</t>
        </is>
      </c>
      <c r="E18" s="18" t="n">
        <v>46308</v>
      </c>
      <c r="F18" s="18" t="n">
        <v>46309</v>
      </c>
      <c r="G18" s="19">
        <f>F18-E18</f>
        <v/>
      </c>
      <c r="H18" s="17" t="inlineStr">
        <is>
          <t>Contable</t>
        </is>
      </c>
      <c r="I18" s="20" t="inlineStr">
        <is>
          <t>PENDIENTE</t>
        </is>
      </c>
      <c r="J18" s="21" t="inlineStr">
        <is>
          <t>Hoja IVA_303</t>
        </is>
      </c>
    </row>
    <row r="19">
      <c r="A19" s="17" t="n">
        <v>15</v>
      </c>
      <c r="B19" s="17" t="inlineStr">
        <is>
          <t>Declaración</t>
        </is>
      </c>
      <c r="C19" s="17" t="inlineStr">
        <is>
          <t>Retenciones: 111 y 115</t>
        </is>
      </c>
      <c r="D19" s="17" t="inlineStr">
        <is>
          <t>Las dos</t>
        </is>
      </c>
      <c r="E19" s="18" t="n">
        <v>46308</v>
      </c>
      <c r="F19" s="18" t="n">
        <v>46309</v>
      </c>
      <c r="G19" s="19">
        <f>F19-E19</f>
        <v/>
      </c>
      <c r="H19" s="17" t="inlineStr">
        <is>
          <t>Contable</t>
        </is>
      </c>
      <c r="I19" s="20" t="inlineStr">
        <is>
          <t>PENDIENTE</t>
        </is>
      </c>
      <c r="J19" s="21" t="inlineStr">
        <is>
          <t>Hoja RETENCIONES</t>
        </is>
      </c>
    </row>
    <row r="20">
      <c r="A20" s="17" t="n">
        <v>16</v>
      </c>
      <c r="B20" s="17" t="inlineStr">
        <is>
          <t>Declaración</t>
        </is>
      </c>
      <c r="C20" s="17" t="inlineStr">
        <is>
          <t>Revisión del asesor antes de presentar</t>
        </is>
      </c>
      <c r="D20" s="17" t="inlineStr">
        <is>
          <t>Las dos</t>
        </is>
      </c>
      <c r="E20" s="18" t="n">
        <v>46309</v>
      </c>
      <c r="F20" s="18" t="n">
        <v>46310</v>
      </c>
      <c r="G20" s="19">
        <f>F20-E20</f>
        <v/>
      </c>
      <c r="H20" s="17" t="inlineStr">
        <is>
          <t>Asesor</t>
        </is>
      </c>
      <c r="I20" s="20" t="inlineStr">
        <is>
          <t>PENDIENTE</t>
        </is>
      </c>
      <c r="J20" s="21" t="inlineStr">
        <is>
          <t>Última parada antes de firmar</t>
        </is>
      </c>
    </row>
    <row r="21">
      <c r="A21" s="17" t="n">
        <v>17</v>
      </c>
      <c r="B21" s="17" t="inlineStr">
        <is>
          <t>Declaración</t>
        </is>
      </c>
      <c r="C21" s="17" t="inlineStr">
        <is>
          <t>Presentar — SI SE DOMICILIA EL PAGO, EL PLAZO ES EL 15</t>
        </is>
      </c>
      <c r="D21" s="17" t="inlineStr">
        <is>
          <t>Las dos</t>
        </is>
      </c>
      <c r="E21" s="18" t="n">
        <v>46310</v>
      </c>
      <c r="F21" s="18" t="n">
        <v>46315</v>
      </c>
      <c r="G21" s="19">
        <f>F21-E21</f>
        <v/>
      </c>
      <c r="H21" s="17" t="inlineStr">
        <is>
          <t>Asesor</t>
        </is>
      </c>
      <c r="I21" s="20" t="inlineStr">
        <is>
          <t>PENDIENTE</t>
        </is>
      </c>
      <c r="J21" s="21" t="inlineStr">
        <is>
          <t>Verificar plazos en el calendario AEAT del ejercicio</t>
        </is>
      </c>
    </row>
    <row r="23">
      <c r="B23" s="3" t="inlineStr">
        <is>
          <t>Avance del trimestre</t>
        </is>
      </c>
      <c r="C23" s="22">
        <f>IFERROR(COUNTIF(I5:I21,"HECHO")/COUNTA(I5:I21),0)</f>
        <v/>
      </c>
    </row>
  </sheetData>
  <dataValidations count="1">
    <dataValidation sqref="I5:I21" showDropDown="0" showInputMessage="0" showErrorMessage="0" allowBlank="1" type="list">
      <formula1>"PENDIENTE,EN CURSO,HECHO,NO APLICA"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40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2" customWidth="1" min="3" max="3"/>
    <col width="16" customWidth="1" min="4" max="4"/>
    <col width="32" customWidth="1" min="5" max="5"/>
    <col width="12" customWidth="1" min="6" max="6"/>
    <col width="15" customWidth="1" min="7" max="7"/>
    <col width="14" customWidth="1" min="8" max="8"/>
    <col width="8" customWidth="1" min="9" max="9"/>
    <col width="14" customWidth="1" min="10" max="10"/>
    <col width="14" customWidth="1" min="11" max="11"/>
    <col width="15" customWidth="1" min="12" max="12"/>
    <col width="7" customWidth="1" min="13" max="13"/>
    <col width="38" customWidth="1" min="14" max="14"/>
  </cols>
  <sheetData>
    <row r="1">
      <c r="A1" s="1" t="inlineStr">
        <is>
          <t>Facturas emitidas — 3T 2026</t>
        </is>
      </c>
    </row>
    <row r="2">
      <c r="A2" s="2" t="inlineStr">
        <is>
          <t>Una fila por factura. La numeración tiene que ser correlativa y sin huecos: un hueco hay que poder explicarlo.</t>
        </is>
      </c>
    </row>
    <row r="4" ht="30" customHeight="1">
      <c r="A4" s="10" t="inlineStr">
        <is>
          <t>EMPRESA</t>
        </is>
      </c>
      <c r="B4" s="10" t="inlineStr">
        <is>
          <t>MES</t>
        </is>
      </c>
      <c r="C4" s="10" t="inlineStr">
        <is>
          <t>FECHA</t>
        </is>
      </c>
      <c r="D4" s="10" t="inlineStr">
        <is>
          <t>Nº FACTURA</t>
        </is>
      </c>
      <c r="E4" s="10" t="inlineStr">
        <is>
          <t>CLIENTE</t>
        </is>
      </c>
      <c r="F4" s="10" t="inlineStr">
        <is>
          <t>NIF</t>
        </is>
      </c>
      <c r="G4" s="10" t="inlineStr">
        <is>
          <t>CUENTA CLIENTE</t>
        </is>
      </c>
      <c r="H4" s="10" t="inlineStr">
        <is>
          <t>BASE</t>
        </is>
      </c>
      <c r="I4" s="10" t="inlineStr">
        <is>
          <t>TIPO</t>
        </is>
      </c>
      <c r="J4" s="10" t="inlineStr">
        <is>
          <t>CUOTA IVA</t>
        </is>
      </c>
      <c r="K4" s="10" t="inlineStr">
        <is>
          <t>TOTAL</t>
        </is>
      </c>
      <c r="L4" s="10" t="inlineStr">
        <is>
          <t>CUENTA INGRESO</t>
        </is>
      </c>
      <c r="M4" s="10" t="inlineStr">
        <is>
          <t>ISP</t>
        </is>
      </c>
      <c r="N4" s="10" t="inlineStr">
        <is>
          <t>OBSERVACIONES</t>
        </is>
      </c>
    </row>
    <row r="5">
      <c r="A5" s="23" t="inlineStr">
        <is>
          <t>EJEMPLO</t>
        </is>
      </c>
      <c r="B5" s="23" t="inlineStr">
        <is>
          <t>07</t>
        </is>
      </c>
      <c r="C5" s="24" t="n">
        <v>46217</v>
      </c>
      <c r="D5" s="23" t="inlineStr">
        <is>
          <t>2026/0118</t>
        </is>
      </c>
      <c r="E5" s="23" t="inlineStr">
        <is>
          <t>Fila de ejemplo: EMPRESA=EJEMPLO no suma en IVA_303. Bórrala o sobrescríbela.</t>
        </is>
      </c>
      <c r="F5" s="23" t="inlineStr">
        <is>
          <t>B07xxxxxx</t>
        </is>
      </c>
      <c r="G5" s="23" t="inlineStr">
        <is>
          <t>430000143</t>
        </is>
      </c>
      <c r="H5" s="25" t="n">
        <v>2400</v>
      </c>
      <c r="I5" s="26" t="n">
        <v>0.21</v>
      </c>
      <c r="J5" s="27">
        <f>IF(N(H5)=0,"",IF(M5="SI",0,ROUND(H5*I5,2)))</f>
        <v/>
      </c>
      <c r="K5" s="27">
        <f>IF(N(H5)=0,"",H5+N(J5))</f>
        <v/>
      </c>
      <c r="L5" s="23" t="inlineStr">
        <is>
          <t>700000001</t>
        </is>
      </c>
      <c r="M5" s="23" t="inlineStr">
        <is>
          <t>NO</t>
        </is>
      </c>
      <c r="N5" s="28" t="n"/>
    </row>
    <row r="6">
      <c r="A6" s="23" t="n"/>
      <c r="B6" s="23" t="n"/>
      <c r="C6" s="24" t="n"/>
      <c r="D6" s="23" t="n"/>
      <c r="E6" s="23" t="n"/>
      <c r="F6" s="23" t="n"/>
      <c r="G6" s="23" t="n"/>
      <c r="H6" s="25" t="n"/>
      <c r="I6" s="26" t="n"/>
      <c r="J6" s="27">
        <f>IF(N(H6)=0,"",IF(M6="SI",0,ROUND(H6*I6,2)))</f>
        <v/>
      </c>
      <c r="K6" s="27">
        <f>IF(N(H6)=0,"",H6+N(J6))</f>
        <v/>
      </c>
      <c r="L6" s="23" t="n"/>
      <c r="M6" s="23" t="n"/>
      <c r="N6" s="23" t="n"/>
    </row>
    <row r="7">
      <c r="A7" s="23" t="n"/>
      <c r="B7" s="23" t="n"/>
      <c r="C7" s="24" t="n"/>
      <c r="D7" s="23" t="n"/>
      <c r="E7" s="23" t="n"/>
      <c r="F7" s="23" t="n"/>
      <c r="G7" s="23" t="n"/>
      <c r="H7" s="25" t="n"/>
      <c r="I7" s="26" t="n"/>
      <c r="J7" s="27">
        <f>IF(N(H7)=0,"",IF(M7="SI",0,ROUND(H7*I7,2)))</f>
        <v/>
      </c>
      <c r="K7" s="27">
        <f>IF(N(H7)=0,"",H7+N(J7))</f>
        <v/>
      </c>
      <c r="L7" s="23" t="n"/>
      <c r="M7" s="23" t="n"/>
      <c r="N7" s="23" t="n"/>
    </row>
    <row r="8">
      <c r="A8" s="23" t="n"/>
      <c r="B8" s="23" t="n"/>
      <c r="C8" s="24" t="n"/>
      <c r="D8" s="23" t="n"/>
      <c r="E8" s="23" t="n"/>
      <c r="F8" s="23" t="n"/>
      <c r="G8" s="23" t="n"/>
      <c r="H8" s="25" t="n"/>
      <c r="I8" s="26" t="n"/>
      <c r="J8" s="27">
        <f>IF(N(H8)=0,"",IF(M8="SI",0,ROUND(H8*I8,2)))</f>
        <v/>
      </c>
      <c r="K8" s="27">
        <f>IF(N(H8)=0,"",H8+N(J8))</f>
        <v/>
      </c>
      <c r="L8" s="23" t="n"/>
      <c r="M8" s="23" t="n"/>
      <c r="N8" s="23" t="n"/>
    </row>
    <row r="9">
      <c r="A9" s="23" t="n"/>
      <c r="B9" s="23" t="n"/>
      <c r="C9" s="24" t="n"/>
      <c r="D9" s="23" t="n"/>
      <c r="E9" s="23" t="n"/>
      <c r="F9" s="23" t="n"/>
      <c r="G9" s="23" t="n"/>
      <c r="H9" s="25" t="n"/>
      <c r="I9" s="26" t="n"/>
      <c r="J9" s="27">
        <f>IF(N(H9)=0,"",IF(M9="SI",0,ROUND(H9*I9,2)))</f>
        <v/>
      </c>
      <c r="K9" s="27">
        <f>IF(N(H9)=0,"",H9+N(J9))</f>
        <v/>
      </c>
      <c r="L9" s="23" t="n"/>
      <c r="M9" s="23" t="n"/>
      <c r="N9" s="23" t="n"/>
    </row>
    <row r="10">
      <c r="A10" s="23" t="n"/>
      <c r="B10" s="23" t="n"/>
      <c r="C10" s="24" t="n"/>
      <c r="D10" s="23" t="n"/>
      <c r="E10" s="23" t="n"/>
      <c r="F10" s="23" t="n"/>
      <c r="G10" s="23" t="n"/>
      <c r="H10" s="25" t="n"/>
      <c r="I10" s="26" t="n"/>
      <c r="J10" s="27">
        <f>IF(N(H10)=0,"",IF(M10="SI",0,ROUND(H10*I10,2)))</f>
        <v/>
      </c>
      <c r="K10" s="27">
        <f>IF(N(H10)=0,"",H10+N(J10))</f>
        <v/>
      </c>
      <c r="L10" s="23" t="n"/>
      <c r="M10" s="23" t="n"/>
      <c r="N10" s="23" t="n"/>
    </row>
    <row r="11">
      <c r="A11" s="23" t="n"/>
      <c r="B11" s="23" t="n"/>
      <c r="C11" s="24" t="n"/>
      <c r="D11" s="23" t="n"/>
      <c r="E11" s="23" t="n"/>
      <c r="F11" s="23" t="n"/>
      <c r="G11" s="23" t="n"/>
      <c r="H11" s="25" t="n"/>
      <c r="I11" s="26" t="n"/>
      <c r="J11" s="27">
        <f>IF(N(H11)=0,"",IF(M11="SI",0,ROUND(H11*I11,2)))</f>
        <v/>
      </c>
      <c r="K11" s="27">
        <f>IF(N(H11)=0,"",H11+N(J11))</f>
        <v/>
      </c>
      <c r="L11" s="23" t="n"/>
      <c r="M11" s="23" t="n"/>
      <c r="N11" s="23" t="n"/>
    </row>
    <row r="12">
      <c r="A12" s="23" t="n"/>
      <c r="B12" s="23" t="n"/>
      <c r="C12" s="24" t="n"/>
      <c r="D12" s="23" t="n"/>
      <c r="E12" s="23" t="n"/>
      <c r="F12" s="23" t="n"/>
      <c r="G12" s="23" t="n"/>
      <c r="H12" s="25" t="n"/>
      <c r="I12" s="26" t="n"/>
      <c r="J12" s="27">
        <f>IF(N(H12)=0,"",IF(M12="SI",0,ROUND(H12*I12,2)))</f>
        <v/>
      </c>
      <c r="K12" s="27">
        <f>IF(N(H12)=0,"",H12+N(J12))</f>
        <v/>
      </c>
      <c r="L12" s="23" t="n"/>
      <c r="M12" s="23" t="n"/>
      <c r="N12" s="23" t="n"/>
    </row>
    <row r="13">
      <c r="A13" s="23" t="n"/>
      <c r="B13" s="23" t="n"/>
      <c r="C13" s="24" t="n"/>
      <c r="D13" s="23" t="n"/>
      <c r="E13" s="23" t="n"/>
      <c r="F13" s="23" t="n"/>
      <c r="G13" s="23" t="n"/>
      <c r="H13" s="25" t="n"/>
      <c r="I13" s="26" t="n"/>
      <c r="J13" s="27">
        <f>IF(N(H13)=0,"",IF(M13="SI",0,ROUND(H13*I13,2)))</f>
        <v/>
      </c>
      <c r="K13" s="27">
        <f>IF(N(H13)=0,"",H13+N(J13))</f>
        <v/>
      </c>
      <c r="L13" s="23" t="n"/>
      <c r="M13" s="23" t="n"/>
      <c r="N13" s="23" t="n"/>
    </row>
    <row r="14">
      <c r="A14" s="23" t="n"/>
      <c r="B14" s="23" t="n"/>
      <c r="C14" s="24" t="n"/>
      <c r="D14" s="23" t="n"/>
      <c r="E14" s="23" t="n"/>
      <c r="F14" s="23" t="n"/>
      <c r="G14" s="23" t="n"/>
      <c r="H14" s="25" t="n"/>
      <c r="I14" s="26" t="n"/>
      <c r="J14" s="27">
        <f>IF(N(H14)=0,"",IF(M14="SI",0,ROUND(H14*I14,2)))</f>
        <v/>
      </c>
      <c r="K14" s="27">
        <f>IF(N(H14)=0,"",H14+N(J14))</f>
        <v/>
      </c>
      <c r="L14" s="23" t="n"/>
      <c r="M14" s="23" t="n"/>
      <c r="N14" s="23" t="n"/>
    </row>
    <row r="15">
      <c r="A15" s="23" t="n"/>
      <c r="B15" s="23" t="n"/>
      <c r="C15" s="24" t="n"/>
      <c r="D15" s="23" t="n"/>
      <c r="E15" s="23" t="n"/>
      <c r="F15" s="23" t="n"/>
      <c r="G15" s="23" t="n"/>
      <c r="H15" s="25" t="n"/>
      <c r="I15" s="26" t="n"/>
      <c r="J15" s="27">
        <f>IF(N(H15)=0,"",IF(M15="SI",0,ROUND(H15*I15,2)))</f>
        <v/>
      </c>
      <c r="K15" s="27">
        <f>IF(N(H15)=0,"",H15+N(J15))</f>
        <v/>
      </c>
      <c r="L15" s="23" t="n"/>
      <c r="M15" s="23" t="n"/>
      <c r="N15" s="23" t="n"/>
    </row>
    <row r="16">
      <c r="A16" s="23" t="n"/>
      <c r="B16" s="23" t="n"/>
      <c r="C16" s="24" t="n"/>
      <c r="D16" s="23" t="n"/>
      <c r="E16" s="23" t="n"/>
      <c r="F16" s="23" t="n"/>
      <c r="G16" s="23" t="n"/>
      <c r="H16" s="25" t="n"/>
      <c r="I16" s="26" t="n"/>
      <c r="J16" s="27">
        <f>IF(N(H16)=0,"",IF(M16="SI",0,ROUND(H16*I16,2)))</f>
        <v/>
      </c>
      <c r="K16" s="27">
        <f>IF(N(H16)=0,"",H16+N(J16))</f>
        <v/>
      </c>
      <c r="L16" s="23" t="n"/>
      <c r="M16" s="23" t="n"/>
      <c r="N16" s="23" t="n"/>
    </row>
    <row r="17">
      <c r="A17" s="23" t="n"/>
      <c r="B17" s="23" t="n"/>
      <c r="C17" s="24" t="n"/>
      <c r="D17" s="23" t="n"/>
      <c r="E17" s="23" t="n"/>
      <c r="F17" s="23" t="n"/>
      <c r="G17" s="23" t="n"/>
      <c r="H17" s="25" t="n"/>
      <c r="I17" s="26" t="n"/>
      <c r="J17" s="27">
        <f>IF(N(H17)=0,"",IF(M17="SI",0,ROUND(H17*I17,2)))</f>
        <v/>
      </c>
      <c r="K17" s="27">
        <f>IF(N(H17)=0,"",H17+N(J17))</f>
        <v/>
      </c>
      <c r="L17" s="23" t="n"/>
      <c r="M17" s="23" t="n"/>
      <c r="N17" s="23" t="n"/>
    </row>
    <row r="18">
      <c r="A18" s="23" t="n"/>
      <c r="B18" s="23" t="n"/>
      <c r="C18" s="24" t="n"/>
      <c r="D18" s="23" t="n"/>
      <c r="E18" s="23" t="n"/>
      <c r="F18" s="23" t="n"/>
      <c r="G18" s="23" t="n"/>
      <c r="H18" s="25" t="n"/>
      <c r="I18" s="26" t="n"/>
      <c r="J18" s="27">
        <f>IF(N(H18)=0,"",IF(M18="SI",0,ROUND(H18*I18,2)))</f>
        <v/>
      </c>
      <c r="K18" s="27">
        <f>IF(N(H18)=0,"",H18+N(J18))</f>
        <v/>
      </c>
      <c r="L18" s="23" t="n"/>
      <c r="M18" s="23" t="n"/>
      <c r="N18" s="23" t="n"/>
    </row>
    <row r="19">
      <c r="A19" s="23" t="n"/>
      <c r="B19" s="23" t="n"/>
      <c r="C19" s="24" t="n"/>
      <c r="D19" s="23" t="n"/>
      <c r="E19" s="23" t="n"/>
      <c r="F19" s="23" t="n"/>
      <c r="G19" s="23" t="n"/>
      <c r="H19" s="25" t="n"/>
      <c r="I19" s="26" t="n"/>
      <c r="J19" s="27">
        <f>IF(N(H19)=0,"",IF(M19="SI",0,ROUND(H19*I19,2)))</f>
        <v/>
      </c>
      <c r="K19" s="27">
        <f>IF(N(H19)=0,"",H19+N(J19))</f>
        <v/>
      </c>
      <c r="L19" s="23" t="n"/>
      <c r="M19" s="23" t="n"/>
      <c r="N19" s="23" t="n"/>
    </row>
    <row r="20">
      <c r="A20" s="23" t="n"/>
      <c r="B20" s="23" t="n"/>
      <c r="C20" s="24" t="n"/>
      <c r="D20" s="23" t="n"/>
      <c r="E20" s="23" t="n"/>
      <c r="F20" s="23" t="n"/>
      <c r="G20" s="23" t="n"/>
      <c r="H20" s="25" t="n"/>
      <c r="I20" s="26" t="n"/>
      <c r="J20" s="27">
        <f>IF(N(H20)=0,"",IF(M20="SI",0,ROUND(H20*I20,2)))</f>
        <v/>
      </c>
      <c r="K20" s="27">
        <f>IF(N(H20)=0,"",H20+N(J20))</f>
        <v/>
      </c>
      <c r="L20" s="23" t="n"/>
      <c r="M20" s="23" t="n"/>
      <c r="N20" s="23" t="n"/>
    </row>
    <row r="21">
      <c r="A21" s="23" t="n"/>
      <c r="B21" s="23" t="n"/>
      <c r="C21" s="24" t="n"/>
      <c r="D21" s="23" t="n"/>
      <c r="E21" s="23" t="n"/>
      <c r="F21" s="23" t="n"/>
      <c r="G21" s="23" t="n"/>
      <c r="H21" s="25" t="n"/>
      <c r="I21" s="26" t="n"/>
      <c r="J21" s="27">
        <f>IF(N(H21)=0,"",IF(M21="SI",0,ROUND(H21*I21,2)))</f>
        <v/>
      </c>
      <c r="K21" s="27">
        <f>IF(N(H21)=0,"",H21+N(J21))</f>
        <v/>
      </c>
      <c r="L21" s="23" t="n"/>
      <c r="M21" s="23" t="n"/>
      <c r="N21" s="23" t="n"/>
    </row>
    <row r="22">
      <c r="A22" s="23" t="n"/>
      <c r="B22" s="23" t="n"/>
      <c r="C22" s="24" t="n"/>
      <c r="D22" s="23" t="n"/>
      <c r="E22" s="23" t="n"/>
      <c r="F22" s="23" t="n"/>
      <c r="G22" s="23" t="n"/>
      <c r="H22" s="25" t="n"/>
      <c r="I22" s="26" t="n"/>
      <c r="J22" s="27">
        <f>IF(N(H22)=0,"",IF(M22="SI",0,ROUND(H22*I22,2)))</f>
        <v/>
      </c>
      <c r="K22" s="27">
        <f>IF(N(H22)=0,"",H22+N(J22))</f>
        <v/>
      </c>
      <c r="L22" s="23" t="n"/>
      <c r="M22" s="23" t="n"/>
      <c r="N22" s="23" t="n"/>
    </row>
    <row r="23">
      <c r="A23" s="23" t="n"/>
      <c r="B23" s="23" t="n"/>
      <c r="C23" s="24" t="n"/>
      <c r="D23" s="23" t="n"/>
      <c r="E23" s="23" t="n"/>
      <c r="F23" s="23" t="n"/>
      <c r="G23" s="23" t="n"/>
      <c r="H23" s="25" t="n"/>
      <c r="I23" s="26" t="n"/>
      <c r="J23" s="27">
        <f>IF(N(H23)=0,"",IF(M23="SI",0,ROUND(H23*I23,2)))</f>
        <v/>
      </c>
      <c r="K23" s="27">
        <f>IF(N(H23)=0,"",H23+N(J23))</f>
        <v/>
      </c>
      <c r="L23" s="23" t="n"/>
      <c r="M23" s="23" t="n"/>
      <c r="N23" s="23" t="n"/>
    </row>
    <row r="24">
      <c r="A24" s="23" t="n"/>
      <c r="B24" s="23" t="n"/>
      <c r="C24" s="24" t="n"/>
      <c r="D24" s="23" t="n"/>
      <c r="E24" s="23" t="n"/>
      <c r="F24" s="23" t="n"/>
      <c r="G24" s="23" t="n"/>
      <c r="H24" s="25" t="n"/>
      <c r="I24" s="26" t="n"/>
      <c r="J24" s="27">
        <f>IF(N(H24)=0,"",IF(M24="SI",0,ROUND(H24*I24,2)))</f>
        <v/>
      </c>
      <c r="K24" s="27">
        <f>IF(N(H24)=0,"",H24+N(J24))</f>
        <v/>
      </c>
      <c r="L24" s="23" t="n"/>
      <c r="M24" s="23" t="n"/>
      <c r="N24" s="23" t="n"/>
    </row>
    <row r="25">
      <c r="A25" s="23" t="n"/>
      <c r="B25" s="23" t="n"/>
      <c r="C25" s="24" t="n"/>
      <c r="D25" s="23" t="n"/>
      <c r="E25" s="23" t="n"/>
      <c r="F25" s="23" t="n"/>
      <c r="G25" s="23" t="n"/>
      <c r="H25" s="25" t="n"/>
      <c r="I25" s="26" t="n"/>
      <c r="J25" s="27">
        <f>IF(N(H25)=0,"",IF(M25="SI",0,ROUND(H25*I25,2)))</f>
        <v/>
      </c>
      <c r="K25" s="27">
        <f>IF(N(H25)=0,"",H25+N(J25))</f>
        <v/>
      </c>
      <c r="L25" s="23" t="n"/>
      <c r="M25" s="23" t="n"/>
      <c r="N25" s="23" t="n"/>
    </row>
    <row r="26">
      <c r="A26" s="23" t="n"/>
      <c r="B26" s="23" t="n"/>
      <c r="C26" s="24" t="n"/>
      <c r="D26" s="23" t="n"/>
      <c r="E26" s="23" t="n"/>
      <c r="F26" s="23" t="n"/>
      <c r="G26" s="23" t="n"/>
      <c r="H26" s="25" t="n"/>
      <c r="I26" s="26" t="n"/>
      <c r="J26" s="27">
        <f>IF(N(H26)=0,"",IF(M26="SI",0,ROUND(H26*I26,2)))</f>
        <v/>
      </c>
      <c r="K26" s="27">
        <f>IF(N(H26)=0,"",H26+N(J26))</f>
        <v/>
      </c>
      <c r="L26" s="23" t="n"/>
      <c r="M26" s="23" t="n"/>
      <c r="N26" s="23" t="n"/>
    </row>
    <row r="27">
      <c r="A27" s="23" t="n"/>
      <c r="B27" s="23" t="n"/>
      <c r="C27" s="24" t="n"/>
      <c r="D27" s="23" t="n"/>
      <c r="E27" s="23" t="n"/>
      <c r="F27" s="23" t="n"/>
      <c r="G27" s="23" t="n"/>
      <c r="H27" s="25" t="n"/>
      <c r="I27" s="26" t="n"/>
      <c r="J27" s="27">
        <f>IF(N(H27)=0,"",IF(M27="SI",0,ROUND(H27*I27,2)))</f>
        <v/>
      </c>
      <c r="K27" s="27">
        <f>IF(N(H27)=0,"",H27+N(J27))</f>
        <v/>
      </c>
      <c r="L27" s="23" t="n"/>
      <c r="M27" s="23" t="n"/>
      <c r="N27" s="23" t="n"/>
    </row>
    <row r="28">
      <c r="A28" s="23" t="n"/>
      <c r="B28" s="23" t="n"/>
      <c r="C28" s="24" t="n"/>
      <c r="D28" s="23" t="n"/>
      <c r="E28" s="23" t="n"/>
      <c r="F28" s="23" t="n"/>
      <c r="G28" s="23" t="n"/>
      <c r="H28" s="25" t="n"/>
      <c r="I28" s="26" t="n"/>
      <c r="J28" s="27">
        <f>IF(N(H28)=0,"",IF(M28="SI",0,ROUND(H28*I28,2)))</f>
        <v/>
      </c>
      <c r="K28" s="27">
        <f>IF(N(H28)=0,"",H28+N(J28))</f>
        <v/>
      </c>
      <c r="L28" s="23" t="n"/>
      <c r="M28" s="23" t="n"/>
      <c r="N28" s="23" t="n"/>
    </row>
    <row r="29">
      <c r="A29" s="23" t="n"/>
      <c r="B29" s="23" t="n"/>
      <c r="C29" s="24" t="n"/>
      <c r="D29" s="23" t="n"/>
      <c r="E29" s="23" t="n"/>
      <c r="F29" s="23" t="n"/>
      <c r="G29" s="23" t="n"/>
      <c r="H29" s="25" t="n"/>
      <c r="I29" s="26" t="n"/>
      <c r="J29" s="27">
        <f>IF(N(H29)=0,"",IF(M29="SI",0,ROUND(H29*I29,2)))</f>
        <v/>
      </c>
      <c r="K29" s="27">
        <f>IF(N(H29)=0,"",H29+N(J29))</f>
        <v/>
      </c>
      <c r="L29" s="23" t="n"/>
      <c r="M29" s="23" t="n"/>
      <c r="N29" s="23" t="n"/>
    </row>
    <row r="30">
      <c r="A30" s="23" t="n"/>
      <c r="B30" s="23" t="n"/>
      <c r="C30" s="24" t="n"/>
      <c r="D30" s="23" t="n"/>
      <c r="E30" s="23" t="n"/>
      <c r="F30" s="23" t="n"/>
      <c r="G30" s="23" t="n"/>
      <c r="H30" s="25" t="n"/>
      <c r="I30" s="26" t="n"/>
      <c r="J30" s="27">
        <f>IF(N(H30)=0,"",IF(M30="SI",0,ROUND(H30*I30,2)))</f>
        <v/>
      </c>
      <c r="K30" s="27">
        <f>IF(N(H30)=0,"",H30+N(J30))</f>
        <v/>
      </c>
      <c r="L30" s="23" t="n"/>
      <c r="M30" s="23" t="n"/>
      <c r="N30" s="23" t="n"/>
    </row>
    <row r="31">
      <c r="A31" s="23" t="n"/>
      <c r="B31" s="23" t="n"/>
      <c r="C31" s="24" t="n"/>
      <c r="D31" s="23" t="n"/>
      <c r="E31" s="23" t="n"/>
      <c r="F31" s="23" t="n"/>
      <c r="G31" s="23" t="n"/>
      <c r="H31" s="25" t="n"/>
      <c r="I31" s="26" t="n"/>
      <c r="J31" s="27">
        <f>IF(N(H31)=0,"",IF(M31="SI",0,ROUND(H31*I31,2)))</f>
        <v/>
      </c>
      <c r="K31" s="27">
        <f>IF(N(H31)=0,"",H31+N(J31))</f>
        <v/>
      </c>
      <c r="L31" s="23" t="n"/>
      <c r="M31" s="23" t="n"/>
      <c r="N31" s="23" t="n"/>
    </row>
    <row r="32">
      <c r="A32" s="23" t="n"/>
      <c r="B32" s="23" t="n"/>
      <c r="C32" s="24" t="n"/>
      <c r="D32" s="23" t="n"/>
      <c r="E32" s="23" t="n"/>
      <c r="F32" s="23" t="n"/>
      <c r="G32" s="23" t="n"/>
      <c r="H32" s="25" t="n"/>
      <c r="I32" s="26" t="n"/>
      <c r="J32" s="27">
        <f>IF(N(H32)=0,"",IF(M32="SI",0,ROUND(H32*I32,2)))</f>
        <v/>
      </c>
      <c r="K32" s="27">
        <f>IF(N(H32)=0,"",H32+N(J32))</f>
        <v/>
      </c>
      <c r="L32" s="23" t="n"/>
      <c r="M32" s="23" t="n"/>
      <c r="N32" s="23" t="n"/>
    </row>
    <row r="33">
      <c r="A33" s="23" t="n"/>
      <c r="B33" s="23" t="n"/>
      <c r="C33" s="24" t="n"/>
      <c r="D33" s="23" t="n"/>
      <c r="E33" s="23" t="n"/>
      <c r="F33" s="23" t="n"/>
      <c r="G33" s="23" t="n"/>
      <c r="H33" s="25" t="n"/>
      <c r="I33" s="26" t="n"/>
      <c r="J33" s="27">
        <f>IF(N(H33)=0,"",IF(M33="SI",0,ROUND(H33*I33,2)))</f>
        <v/>
      </c>
      <c r="K33" s="27">
        <f>IF(N(H33)=0,"",H33+N(J33))</f>
        <v/>
      </c>
      <c r="L33" s="23" t="n"/>
      <c r="M33" s="23" t="n"/>
      <c r="N33" s="23" t="n"/>
    </row>
    <row r="34">
      <c r="A34" s="23" t="n"/>
      <c r="B34" s="23" t="n"/>
      <c r="C34" s="24" t="n"/>
      <c r="D34" s="23" t="n"/>
      <c r="E34" s="23" t="n"/>
      <c r="F34" s="23" t="n"/>
      <c r="G34" s="23" t="n"/>
      <c r="H34" s="25" t="n"/>
      <c r="I34" s="26" t="n"/>
      <c r="J34" s="27">
        <f>IF(N(H34)=0,"",IF(M34="SI",0,ROUND(H34*I34,2)))</f>
        <v/>
      </c>
      <c r="K34" s="27">
        <f>IF(N(H34)=0,"",H34+N(J34))</f>
        <v/>
      </c>
      <c r="L34" s="23" t="n"/>
      <c r="M34" s="23" t="n"/>
      <c r="N34" s="23" t="n"/>
    </row>
    <row r="35">
      <c r="A35" s="23" t="n"/>
      <c r="B35" s="23" t="n"/>
      <c r="C35" s="24" t="n"/>
      <c r="D35" s="23" t="n"/>
      <c r="E35" s="23" t="n"/>
      <c r="F35" s="23" t="n"/>
      <c r="G35" s="23" t="n"/>
      <c r="H35" s="25" t="n"/>
      <c r="I35" s="26" t="n"/>
      <c r="J35" s="27">
        <f>IF(N(H35)=0,"",IF(M35="SI",0,ROUND(H35*I35,2)))</f>
        <v/>
      </c>
      <c r="K35" s="27">
        <f>IF(N(H35)=0,"",H35+N(J35))</f>
        <v/>
      </c>
      <c r="L35" s="23" t="n"/>
      <c r="M35" s="23" t="n"/>
      <c r="N35" s="23" t="n"/>
    </row>
    <row r="36">
      <c r="A36" s="23" t="n"/>
      <c r="B36" s="23" t="n"/>
      <c r="C36" s="24" t="n"/>
      <c r="D36" s="23" t="n"/>
      <c r="E36" s="23" t="n"/>
      <c r="F36" s="23" t="n"/>
      <c r="G36" s="23" t="n"/>
      <c r="H36" s="25" t="n"/>
      <c r="I36" s="26" t="n"/>
      <c r="J36" s="27">
        <f>IF(N(H36)=0,"",IF(M36="SI",0,ROUND(H36*I36,2)))</f>
        <v/>
      </c>
      <c r="K36" s="27">
        <f>IF(N(H36)=0,"",H36+N(J36))</f>
        <v/>
      </c>
      <c r="L36" s="23" t="n"/>
      <c r="M36" s="23" t="n"/>
      <c r="N36" s="23" t="n"/>
    </row>
    <row r="37">
      <c r="A37" s="23" t="n"/>
      <c r="B37" s="23" t="n"/>
      <c r="C37" s="24" t="n"/>
      <c r="D37" s="23" t="n"/>
      <c r="E37" s="23" t="n"/>
      <c r="F37" s="23" t="n"/>
      <c r="G37" s="23" t="n"/>
      <c r="H37" s="25" t="n"/>
      <c r="I37" s="26" t="n"/>
      <c r="J37" s="27">
        <f>IF(N(H37)=0,"",IF(M37="SI",0,ROUND(H37*I37,2)))</f>
        <v/>
      </c>
      <c r="K37" s="27">
        <f>IF(N(H37)=0,"",H37+N(J37))</f>
        <v/>
      </c>
      <c r="L37" s="23" t="n"/>
      <c r="M37" s="23" t="n"/>
      <c r="N37" s="23" t="n"/>
    </row>
    <row r="38">
      <c r="A38" s="23" t="n"/>
      <c r="B38" s="23" t="n"/>
      <c r="C38" s="24" t="n"/>
      <c r="D38" s="23" t="n"/>
      <c r="E38" s="23" t="n"/>
      <c r="F38" s="23" t="n"/>
      <c r="G38" s="23" t="n"/>
      <c r="H38" s="25" t="n"/>
      <c r="I38" s="26" t="n"/>
      <c r="J38" s="27">
        <f>IF(N(H38)=0,"",IF(M38="SI",0,ROUND(H38*I38,2)))</f>
        <v/>
      </c>
      <c r="K38" s="27">
        <f>IF(N(H38)=0,"",H38+N(J38))</f>
        <v/>
      </c>
      <c r="L38" s="23" t="n"/>
      <c r="M38" s="23" t="n"/>
      <c r="N38" s="23" t="n"/>
    </row>
    <row r="39">
      <c r="A39" s="23" t="n"/>
      <c r="B39" s="23" t="n"/>
      <c r="C39" s="24" t="n"/>
      <c r="D39" s="23" t="n"/>
      <c r="E39" s="23" t="n"/>
      <c r="F39" s="23" t="n"/>
      <c r="G39" s="23" t="n"/>
      <c r="H39" s="25" t="n"/>
      <c r="I39" s="26" t="n"/>
      <c r="J39" s="27">
        <f>IF(N(H39)=0,"",IF(M39="SI",0,ROUND(H39*I39,2)))</f>
        <v/>
      </c>
      <c r="K39" s="27">
        <f>IF(N(H39)=0,"",H39+N(J39))</f>
        <v/>
      </c>
      <c r="L39" s="23" t="n"/>
      <c r="M39" s="23" t="n"/>
      <c r="N39" s="23" t="n"/>
    </row>
    <row r="40">
      <c r="A40" s="23" t="n"/>
      <c r="B40" s="23" t="n"/>
      <c r="C40" s="24" t="n"/>
      <c r="D40" s="23" t="n"/>
      <c r="E40" s="23" t="n"/>
      <c r="F40" s="23" t="n"/>
      <c r="G40" s="23" t="n"/>
      <c r="H40" s="25" t="n"/>
      <c r="I40" s="26" t="n"/>
      <c r="J40" s="27">
        <f>IF(N(H40)=0,"",IF(M40="SI",0,ROUND(H40*I40,2)))</f>
        <v/>
      </c>
      <c r="K40" s="27">
        <f>IF(N(H40)=0,"",H40+N(J40))</f>
        <v/>
      </c>
      <c r="L40" s="23" t="n"/>
      <c r="M40" s="23" t="n"/>
      <c r="N40" s="23" t="n"/>
    </row>
    <row r="41">
      <c r="A41" s="23" t="n"/>
      <c r="B41" s="23" t="n"/>
      <c r="C41" s="24" t="n"/>
      <c r="D41" s="23" t="n"/>
      <c r="E41" s="23" t="n"/>
      <c r="F41" s="23" t="n"/>
      <c r="G41" s="23" t="n"/>
      <c r="H41" s="25" t="n"/>
      <c r="I41" s="26" t="n"/>
      <c r="J41" s="27">
        <f>IF(N(H41)=0,"",IF(M41="SI",0,ROUND(H41*I41,2)))</f>
        <v/>
      </c>
      <c r="K41" s="27">
        <f>IF(N(H41)=0,"",H41+N(J41))</f>
        <v/>
      </c>
      <c r="L41" s="23" t="n"/>
      <c r="M41" s="23" t="n"/>
      <c r="N41" s="23" t="n"/>
    </row>
    <row r="42">
      <c r="A42" s="23" t="n"/>
      <c r="B42" s="23" t="n"/>
      <c r="C42" s="24" t="n"/>
      <c r="D42" s="23" t="n"/>
      <c r="E42" s="23" t="n"/>
      <c r="F42" s="23" t="n"/>
      <c r="G42" s="23" t="n"/>
      <c r="H42" s="25" t="n"/>
      <c r="I42" s="26" t="n"/>
      <c r="J42" s="27">
        <f>IF(N(H42)=0,"",IF(M42="SI",0,ROUND(H42*I42,2)))</f>
        <v/>
      </c>
      <c r="K42" s="27">
        <f>IF(N(H42)=0,"",H42+N(J42))</f>
        <v/>
      </c>
      <c r="L42" s="23" t="n"/>
      <c r="M42" s="23" t="n"/>
      <c r="N42" s="23" t="n"/>
    </row>
    <row r="43">
      <c r="A43" s="23" t="n"/>
      <c r="B43" s="23" t="n"/>
      <c r="C43" s="24" t="n"/>
      <c r="D43" s="23" t="n"/>
      <c r="E43" s="23" t="n"/>
      <c r="F43" s="23" t="n"/>
      <c r="G43" s="23" t="n"/>
      <c r="H43" s="25" t="n"/>
      <c r="I43" s="26" t="n"/>
      <c r="J43" s="27">
        <f>IF(N(H43)=0,"",IF(M43="SI",0,ROUND(H43*I43,2)))</f>
        <v/>
      </c>
      <c r="K43" s="27">
        <f>IF(N(H43)=0,"",H43+N(J43))</f>
        <v/>
      </c>
      <c r="L43" s="23" t="n"/>
      <c r="M43" s="23" t="n"/>
      <c r="N43" s="23" t="n"/>
    </row>
    <row r="44">
      <c r="A44" s="23" t="n"/>
      <c r="B44" s="23" t="n"/>
      <c r="C44" s="24" t="n"/>
      <c r="D44" s="23" t="n"/>
      <c r="E44" s="23" t="n"/>
      <c r="F44" s="23" t="n"/>
      <c r="G44" s="23" t="n"/>
      <c r="H44" s="25" t="n"/>
      <c r="I44" s="26" t="n"/>
      <c r="J44" s="27">
        <f>IF(N(H44)=0,"",IF(M44="SI",0,ROUND(H44*I44,2)))</f>
        <v/>
      </c>
      <c r="K44" s="27">
        <f>IF(N(H44)=0,"",H44+N(J44))</f>
        <v/>
      </c>
      <c r="L44" s="23" t="n"/>
      <c r="M44" s="23" t="n"/>
      <c r="N44" s="23" t="n"/>
    </row>
    <row r="45">
      <c r="A45" s="23" t="n"/>
      <c r="B45" s="23" t="n"/>
      <c r="C45" s="24" t="n"/>
      <c r="D45" s="23" t="n"/>
      <c r="E45" s="23" t="n"/>
      <c r="F45" s="23" t="n"/>
      <c r="G45" s="23" t="n"/>
      <c r="H45" s="25" t="n"/>
      <c r="I45" s="26" t="n"/>
      <c r="J45" s="27">
        <f>IF(N(H45)=0,"",IF(M45="SI",0,ROUND(H45*I45,2)))</f>
        <v/>
      </c>
      <c r="K45" s="27">
        <f>IF(N(H45)=0,"",H45+N(J45))</f>
        <v/>
      </c>
      <c r="L45" s="23" t="n"/>
      <c r="M45" s="23" t="n"/>
      <c r="N45" s="23" t="n"/>
    </row>
    <row r="46">
      <c r="A46" s="23" t="n"/>
      <c r="B46" s="23" t="n"/>
      <c r="C46" s="24" t="n"/>
      <c r="D46" s="23" t="n"/>
      <c r="E46" s="23" t="n"/>
      <c r="F46" s="23" t="n"/>
      <c r="G46" s="23" t="n"/>
      <c r="H46" s="25" t="n"/>
      <c r="I46" s="26" t="n"/>
      <c r="J46" s="27">
        <f>IF(N(H46)=0,"",IF(M46="SI",0,ROUND(H46*I46,2)))</f>
        <v/>
      </c>
      <c r="K46" s="27">
        <f>IF(N(H46)=0,"",H46+N(J46))</f>
        <v/>
      </c>
      <c r="L46" s="23" t="n"/>
      <c r="M46" s="23" t="n"/>
      <c r="N46" s="23" t="n"/>
    </row>
    <row r="47">
      <c r="A47" s="23" t="n"/>
      <c r="B47" s="23" t="n"/>
      <c r="C47" s="24" t="n"/>
      <c r="D47" s="23" t="n"/>
      <c r="E47" s="23" t="n"/>
      <c r="F47" s="23" t="n"/>
      <c r="G47" s="23" t="n"/>
      <c r="H47" s="25" t="n"/>
      <c r="I47" s="26" t="n"/>
      <c r="J47" s="27">
        <f>IF(N(H47)=0,"",IF(M47="SI",0,ROUND(H47*I47,2)))</f>
        <v/>
      </c>
      <c r="K47" s="27">
        <f>IF(N(H47)=0,"",H47+N(J47))</f>
        <v/>
      </c>
      <c r="L47" s="23" t="n"/>
      <c r="M47" s="23" t="n"/>
      <c r="N47" s="23" t="n"/>
    </row>
    <row r="48">
      <c r="A48" s="23" t="n"/>
      <c r="B48" s="23" t="n"/>
      <c r="C48" s="24" t="n"/>
      <c r="D48" s="23" t="n"/>
      <c r="E48" s="23" t="n"/>
      <c r="F48" s="23" t="n"/>
      <c r="G48" s="23" t="n"/>
      <c r="H48" s="25" t="n"/>
      <c r="I48" s="26" t="n"/>
      <c r="J48" s="27">
        <f>IF(N(H48)=0,"",IF(M48="SI",0,ROUND(H48*I48,2)))</f>
        <v/>
      </c>
      <c r="K48" s="27">
        <f>IF(N(H48)=0,"",H48+N(J48))</f>
        <v/>
      </c>
      <c r="L48" s="23" t="n"/>
      <c r="M48" s="23" t="n"/>
      <c r="N48" s="23" t="n"/>
    </row>
    <row r="49">
      <c r="A49" s="23" t="n"/>
      <c r="B49" s="23" t="n"/>
      <c r="C49" s="24" t="n"/>
      <c r="D49" s="23" t="n"/>
      <c r="E49" s="23" t="n"/>
      <c r="F49" s="23" t="n"/>
      <c r="G49" s="23" t="n"/>
      <c r="H49" s="25" t="n"/>
      <c r="I49" s="26" t="n"/>
      <c r="J49" s="27">
        <f>IF(N(H49)=0,"",IF(M49="SI",0,ROUND(H49*I49,2)))</f>
        <v/>
      </c>
      <c r="K49" s="27">
        <f>IF(N(H49)=0,"",H49+N(J49))</f>
        <v/>
      </c>
      <c r="L49" s="23" t="n"/>
      <c r="M49" s="23" t="n"/>
      <c r="N49" s="23" t="n"/>
    </row>
    <row r="50">
      <c r="A50" s="23" t="n"/>
      <c r="B50" s="23" t="n"/>
      <c r="C50" s="24" t="n"/>
      <c r="D50" s="23" t="n"/>
      <c r="E50" s="23" t="n"/>
      <c r="F50" s="23" t="n"/>
      <c r="G50" s="23" t="n"/>
      <c r="H50" s="25" t="n"/>
      <c r="I50" s="26" t="n"/>
      <c r="J50" s="27">
        <f>IF(N(H50)=0,"",IF(M50="SI",0,ROUND(H50*I50,2)))</f>
        <v/>
      </c>
      <c r="K50" s="27">
        <f>IF(N(H50)=0,"",H50+N(J50))</f>
        <v/>
      </c>
      <c r="L50" s="23" t="n"/>
      <c r="M50" s="23" t="n"/>
      <c r="N50" s="23" t="n"/>
    </row>
    <row r="51">
      <c r="A51" s="23" t="n"/>
      <c r="B51" s="23" t="n"/>
      <c r="C51" s="24" t="n"/>
      <c r="D51" s="23" t="n"/>
      <c r="E51" s="23" t="n"/>
      <c r="F51" s="23" t="n"/>
      <c r="G51" s="23" t="n"/>
      <c r="H51" s="25" t="n"/>
      <c r="I51" s="26" t="n"/>
      <c r="J51" s="27">
        <f>IF(N(H51)=0,"",IF(M51="SI",0,ROUND(H51*I51,2)))</f>
        <v/>
      </c>
      <c r="K51" s="27">
        <f>IF(N(H51)=0,"",H51+N(J51))</f>
        <v/>
      </c>
      <c r="L51" s="23" t="n"/>
      <c r="M51" s="23" t="n"/>
      <c r="N51" s="23" t="n"/>
    </row>
    <row r="52">
      <c r="A52" s="23" t="n"/>
      <c r="B52" s="23" t="n"/>
      <c r="C52" s="24" t="n"/>
      <c r="D52" s="23" t="n"/>
      <c r="E52" s="23" t="n"/>
      <c r="F52" s="23" t="n"/>
      <c r="G52" s="23" t="n"/>
      <c r="H52" s="25" t="n"/>
      <c r="I52" s="26" t="n"/>
      <c r="J52" s="27">
        <f>IF(N(H52)=0,"",IF(M52="SI",0,ROUND(H52*I52,2)))</f>
        <v/>
      </c>
      <c r="K52" s="27">
        <f>IF(N(H52)=0,"",H52+N(J52))</f>
        <v/>
      </c>
      <c r="L52" s="23" t="n"/>
      <c r="M52" s="23" t="n"/>
      <c r="N52" s="23" t="n"/>
    </row>
    <row r="53">
      <c r="A53" s="23" t="n"/>
      <c r="B53" s="23" t="n"/>
      <c r="C53" s="24" t="n"/>
      <c r="D53" s="23" t="n"/>
      <c r="E53" s="23" t="n"/>
      <c r="F53" s="23" t="n"/>
      <c r="G53" s="23" t="n"/>
      <c r="H53" s="25" t="n"/>
      <c r="I53" s="26" t="n"/>
      <c r="J53" s="27">
        <f>IF(N(H53)=0,"",IF(M53="SI",0,ROUND(H53*I53,2)))</f>
        <v/>
      </c>
      <c r="K53" s="27">
        <f>IF(N(H53)=0,"",H53+N(J53))</f>
        <v/>
      </c>
      <c r="L53" s="23" t="n"/>
      <c r="M53" s="23" t="n"/>
      <c r="N53" s="23" t="n"/>
    </row>
    <row r="54">
      <c r="A54" s="23" t="n"/>
      <c r="B54" s="23" t="n"/>
      <c r="C54" s="24" t="n"/>
      <c r="D54" s="23" t="n"/>
      <c r="E54" s="23" t="n"/>
      <c r="F54" s="23" t="n"/>
      <c r="G54" s="23" t="n"/>
      <c r="H54" s="25" t="n"/>
      <c r="I54" s="26" t="n"/>
      <c r="J54" s="27">
        <f>IF(N(H54)=0,"",IF(M54="SI",0,ROUND(H54*I54,2)))</f>
        <v/>
      </c>
      <c r="K54" s="27">
        <f>IF(N(H54)=0,"",H54+N(J54))</f>
        <v/>
      </c>
      <c r="L54" s="23" t="n"/>
      <c r="M54" s="23" t="n"/>
      <c r="N54" s="23" t="n"/>
    </row>
    <row r="55">
      <c r="A55" s="23" t="n"/>
      <c r="B55" s="23" t="n"/>
      <c r="C55" s="24" t="n"/>
      <c r="D55" s="23" t="n"/>
      <c r="E55" s="23" t="n"/>
      <c r="F55" s="23" t="n"/>
      <c r="G55" s="23" t="n"/>
      <c r="H55" s="25" t="n"/>
      <c r="I55" s="26" t="n"/>
      <c r="J55" s="27">
        <f>IF(N(H55)=0,"",IF(M55="SI",0,ROUND(H55*I55,2)))</f>
        <v/>
      </c>
      <c r="K55" s="27">
        <f>IF(N(H55)=0,"",H55+N(J55))</f>
        <v/>
      </c>
      <c r="L55" s="23" t="n"/>
      <c r="M55" s="23" t="n"/>
      <c r="N55" s="23" t="n"/>
    </row>
    <row r="56">
      <c r="A56" s="23" t="n"/>
      <c r="B56" s="23" t="n"/>
      <c r="C56" s="24" t="n"/>
      <c r="D56" s="23" t="n"/>
      <c r="E56" s="23" t="n"/>
      <c r="F56" s="23" t="n"/>
      <c r="G56" s="23" t="n"/>
      <c r="H56" s="25" t="n"/>
      <c r="I56" s="26" t="n"/>
      <c r="J56" s="27">
        <f>IF(N(H56)=0,"",IF(M56="SI",0,ROUND(H56*I56,2)))</f>
        <v/>
      </c>
      <c r="K56" s="27">
        <f>IF(N(H56)=0,"",H56+N(J56))</f>
        <v/>
      </c>
      <c r="L56" s="23" t="n"/>
      <c r="M56" s="23" t="n"/>
      <c r="N56" s="23" t="n"/>
    </row>
    <row r="57">
      <c r="A57" s="23" t="n"/>
      <c r="B57" s="23" t="n"/>
      <c r="C57" s="24" t="n"/>
      <c r="D57" s="23" t="n"/>
      <c r="E57" s="23" t="n"/>
      <c r="F57" s="23" t="n"/>
      <c r="G57" s="23" t="n"/>
      <c r="H57" s="25" t="n"/>
      <c r="I57" s="26" t="n"/>
      <c r="J57" s="27">
        <f>IF(N(H57)=0,"",IF(M57="SI",0,ROUND(H57*I57,2)))</f>
        <v/>
      </c>
      <c r="K57" s="27">
        <f>IF(N(H57)=0,"",H57+N(J57))</f>
        <v/>
      </c>
      <c r="L57" s="23" t="n"/>
      <c r="M57" s="23" t="n"/>
      <c r="N57" s="23" t="n"/>
    </row>
    <row r="58">
      <c r="A58" s="23" t="n"/>
      <c r="B58" s="23" t="n"/>
      <c r="C58" s="24" t="n"/>
      <c r="D58" s="23" t="n"/>
      <c r="E58" s="23" t="n"/>
      <c r="F58" s="23" t="n"/>
      <c r="G58" s="23" t="n"/>
      <c r="H58" s="25" t="n"/>
      <c r="I58" s="26" t="n"/>
      <c r="J58" s="27">
        <f>IF(N(H58)=0,"",IF(M58="SI",0,ROUND(H58*I58,2)))</f>
        <v/>
      </c>
      <c r="K58" s="27">
        <f>IF(N(H58)=0,"",H58+N(J58))</f>
        <v/>
      </c>
      <c r="L58" s="23" t="n"/>
      <c r="M58" s="23" t="n"/>
      <c r="N58" s="23" t="n"/>
    </row>
    <row r="59">
      <c r="A59" s="23" t="n"/>
      <c r="B59" s="23" t="n"/>
      <c r="C59" s="24" t="n"/>
      <c r="D59" s="23" t="n"/>
      <c r="E59" s="23" t="n"/>
      <c r="F59" s="23" t="n"/>
      <c r="G59" s="23" t="n"/>
      <c r="H59" s="25" t="n"/>
      <c r="I59" s="26" t="n"/>
      <c r="J59" s="27">
        <f>IF(N(H59)=0,"",IF(M59="SI",0,ROUND(H59*I59,2)))</f>
        <v/>
      </c>
      <c r="K59" s="27">
        <f>IF(N(H59)=0,"",H59+N(J59))</f>
        <v/>
      </c>
      <c r="L59" s="23" t="n"/>
      <c r="M59" s="23" t="n"/>
      <c r="N59" s="23" t="n"/>
    </row>
    <row r="60">
      <c r="A60" s="23" t="n"/>
      <c r="B60" s="23" t="n"/>
      <c r="C60" s="24" t="n"/>
      <c r="D60" s="23" t="n"/>
      <c r="E60" s="23" t="n"/>
      <c r="F60" s="23" t="n"/>
      <c r="G60" s="23" t="n"/>
      <c r="H60" s="25" t="n"/>
      <c r="I60" s="26" t="n"/>
      <c r="J60" s="27">
        <f>IF(N(H60)=0,"",IF(M60="SI",0,ROUND(H60*I60,2)))</f>
        <v/>
      </c>
      <c r="K60" s="27">
        <f>IF(N(H60)=0,"",H60+N(J60))</f>
        <v/>
      </c>
      <c r="L60" s="23" t="n"/>
      <c r="M60" s="23" t="n"/>
      <c r="N60" s="23" t="n"/>
    </row>
    <row r="61">
      <c r="A61" s="23" t="n"/>
      <c r="B61" s="23" t="n"/>
      <c r="C61" s="24" t="n"/>
      <c r="D61" s="23" t="n"/>
      <c r="E61" s="23" t="n"/>
      <c r="F61" s="23" t="n"/>
      <c r="G61" s="23" t="n"/>
      <c r="H61" s="25" t="n"/>
      <c r="I61" s="26" t="n"/>
      <c r="J61" s="27">
        <f>IF(N(H61)=0,"",IF(M61="SI",0,ROUND(H61*I61,2)))</f>
        <v/>
      </c>
      <c r="K61" s="27">
        <f>IF(N(H61)=0,"",H61+N(J61))</f>
        <v/>
      </c>
      <c r="L61" s="23" t="n"/>
      <c r="M61" s="23" t="n"/>
      <c r="N61" s="23" t="n"/>
    </row>
    <row r="62">
      <c r="A62" s="23" t="n"/>
      <c r="B62" s="23" t="n"/>
      <c r="C62" s="24" t="n"/>
      <c r="D62" s="23" t="n"/>
      <c r="E62" s="23" t="n"/>
      <c r="F62" s="23" t="n"/>
      <c r="G62" s="23" t="n"/>
      <c r="H62" s="25" t="n"/>
      <c r="I62" s="26" t="n"/>
      <c r="J62" s="27">
        <f>IF(N(H62)=0,"",IF(M62="SI",0,ROUND(H62*I62,2)))</f>
        <v/>
      </c>
      <c r="K62" s="27">
        <f>IF(N(H62)=0,"",H62+N(J62))</f>
        <v/>
      </c>
      <c r="L62" s="23" t="n"/>
      <c r="M62" s="23" t="n"/>
      <c r="N62" s="23" t="n"/>
    </row>
    <row r="63">
      <c r="A63" s="23" t="n"/>
      <c r="B63" s="23" t="n"/>
      <c r="C63" s="24" t="n"/>
      <c r="D63" s="23" t="n"/>
      <c r="E63" s="23" t="n"/>
      <c r="F63" s="23" t="n"/>
      <c r="G63" s="23" t="n"/>
      <c r="H63" s="25" t="n"/>
      <c r="I63" s="26" t="n"/>
      <c r="J63" s="27">
        <f>IF(N(H63)=0,"",IF(M63="SI",0,ROUND(H63*I63,2)))</f>
        <v/>
      </c>
      <c r="K63" s="27">
        <f>IF(N(H63)=0,"",H63+N(J63))</f>
        <v/>
      </c>
      <c r="L63" s="23" t="n"/>
      <c r="M63" s="23" t="n"/>
      <c r="N63" s="23" t="n"/>
    </row>
    <row r="64">
      <c r="A64" s="23" t="n"/>
      <c r="B64" s="23" t="n"/>
      <c r="C64" s="24" t="n"/>
      <c r="D64" s="23" t="n"/>
      <c r="E64" s="23" t="n"/>
      <c r="F64" s="23" t="n"/>
      <c r="G64" s="23" t="n"/>
      <c r="H64" s="25" t="n"/>
      <c r="I64" s="26" t="n"/>
      <c r="J64" s="27">
        <f>IF(N(H64)=0,"",IF(M64="SI",0,ROUND(H64*I64,2)))</f>
        <v/>
      </c>
      <c r="K64" s="27">
        <f>IF(N(H64)=0,"",H64+N(J64))</f>
        <v/>
      </c>
      <c r="L64" s="23" t="n"/>
      <c r="M64" s="23" t="n"/>
      <c r="N64" s="23" t="n"/>
    </row>
    <row r="65">
      <c r="A65" s="23" t="n"/>
      <c r="B65" s="23" t="n"/>
      <c r="C65" s="24" t="n"/>
      <c r="D65" s="23" t="n"/>
      <c r="E65" s="23" t="n"/>
      <c r="F65" s="23" t="n"/>
      <c r="G65" s="23" t="n"/>
      <c r="H65" s="25" t="n"/>
      <c r="I65" s="26" t="n"/>
      <c r="J65" s="27">
        <f>IF(N(H65)=0,"",IF(M65="SI",0,ROUND(H65*I65,2)))</f>
        <v/>
      </c>
      <c r="K65" s="27">
        <f>IF(N(H65)=0,"",H65+N(J65))</f>
        <v/>
      </c>
      <c r="L65" s="23" t="n"/>
      <c r="M65" s="23" t="n"/>
      <c r="N65" s="23" t="n"/>
    </row>
    <row r="66">
      <c r="A66" s="23" t="n"/>
      <c r="B66" s="23" t="n"/>
      <c r="C66" s="24" t="n"/>
      <c r="D66" s="23" t="n"/>
      <c r="E66" s="23" t="n"/>
      <c r="F66" s="23" t="n"/>
      <c r="G66" s="23" t="n"/>
      <c r="H66" s="25" t="n"/>
      <c r="I66" s="26" t="n"/>
      <c r="J66" s="27">
        <f>IF(N(H66)=0,"",IF(M66="SI",0,ROUND(H66*I66,2)))</f>
        <v/>
      </c>
      <c r="K66" s="27">
        <f>IF(N(H66)=0,"",H66+N(J66))</f>
        <v/>
      </c>
      <c r="L66" s="23" t="n"/>
      <c r="M66" s="23" t="n"/>
      <c r="N66" s="23" t="n"/>
    </row>
    <row r="67">
      <c r="A67" s="23" t="n"/>
      <c r="B67" s="23" t="n"/>
      <c r="C67" s="24" t="n"/>
      <c r="D67" s="23" t="n"/>
      <c r="E67" s="23" t="n"/>
      <c r="F67" s="23" t="n"/>
      <c r="G67" s="23" t="n"/>
      <c r="H67" s="25" t="n"/>
      <c r="I67" s="26" t="n"/>
      <c r="J67" s="27">
        <f>IF(N(H67)=0,"",IF(M67="SI",0,ROUND(H67*I67,2)))</f>
        <v/>
      </c>
      <c r="K67" s="27">
        <f>IF(N(H67)=0,"",H67+N(J67))</f>
        <v/>
      </c>
      <c r="L67" s="23" t="n"/>
      <c r="M67" s="23" t="n"/>
      <c r="N67" s="23" t="n"/>
    </row>
    <row r="68">
      <c r="A68" s="23" t="n"/>
      <c r="B68" s="23" t="n"/>
      <c r="C68" s="24" t="n"/>
      <c r="D68" s="23" t="n"/>
      <c r="E68" s="23" t="n"/>
      <c r="F68" s="23" t="n"/>
      <c r="G68" s="23" t="n"/>
      <c r="H68" s="25" t="n"/>
      <c r="I68" s="26" t="n"/>
      <c r="J68" s="27">
        <f>IF(N(H68)=0,"",IF(M68="SI",0,ROUND(H68*I68,2)))</f>
        <v/>
      </c>
      <c r="K68" s="27">
        <f>IF(N(H68)=0,"",H68+N(J68))</f>
        <v/>
      </c>
      <c r="L68" s="23" t="n"/>
      <c r="M68" s="23" t="n"/>
      <c r="N68" s="23" t="n"/>
    </row>
    <row r="69">
      <c r="A69" s="23" t="n"/>
      <c r="B69" s="23" t="n"/>
      <c r="C69" s="24" t="n"/>
      <c r="D69" s="23" t="n"/>
      <c r="E69" s="23" t="n"/>
      <c r="F69" s="23" t="n"/>
      <c r="G69" s="23" t="n"/>
      <c r="H69" s="25" t="n"/>
      <c r="I69" s="26" t="n"/>
      <c r="J69" s="27">
        <f>IF(N(H69)=0,"",IF(M69="SI",0,ROUND(H69*I69,2)))</f>
        <v/>
      </c>
      <c r="K69" s="27">
        <f>IF(N(H69)=0,"",H69+N(J69))</f>
        <v/>
      </c>
      <c r="L69" s="23" t="n"/>
      <c r="M69" s="23" t="n"/>
      <c r="N69" s="23" t="n"/>
    </row>
    <row r="70">
      <c r="A70" s="23" t="n"/>
      <c r="B70" s="23" t="n"/>
      <c r="C70" s="24" t="n"/>
      <c r="D70" s="23" t="n"/>
      <c r="E70" s="23" t="n"/>
      <c r="F70" s="23" t="n"/>
      <c r="G70" s="23" t="n"/>
      <c r="H70" s="25" t="n"/>
      <c r="I70" s="26" t="n"/>
      <c r="J70" s="27">
        <f>IF(N(H70)=0,"",IF(M70="SI",0,ROUND(H70*I70,2)))</f>
        <v/>
      </c>
      <c r="K70" s="27">
        <f>IF(N(H70)=0,"",H70+N(J70))</f>
        <v/>
      </c>
      <c r="L70" s="23" t="n"/>
      <c r="M70" s="23" t="n"/>
      <c r="N70" s="23" t="n"/>
    </row>
    <row r="71">
      <c r="A71" s="23" t="n"/>
      <c r="B71" s="23" t="n"/>
      <c r="C71" s="24" t="n"/>
      <c r="D71" s="23" t="n"/>
      <c r="E71" s="23" t="n"/>
      <c r="F71" s="23" t="n"/>
      <c r="G71" s="23" t="n"/>
      <c r="H71" s="25" t="n"/>
      <c r="I71" s="26" t="n"/>
      <c r="J71" s="27">
        <f>IF(N(H71)=0,"",IF(M71="SI",0,ROUND(H71*I71,2)))</f>
        <v/>
      </c>
      <c r="K71" s="27">
        <f>IF(N(H71)=0,"",H71+N(J71))</f>
        <v/>
      </c>
      <c r="L71" s="23" t="n"/>
      <c r="M71" s="23" t="n"/>
      <c r="N71" s="23" t="n"/>
    </row>
    <row r="72">
      <c r="A72" s="23" t="n"/>
      <c r="B72" s="23" t="n"/>
      <c r="C72" s="24" t="n"/>
      <c r="D72" s="23" t="n"/>
      <c r="E72" s="23" t="n"/>
      <c r="F72" s="23" t="n"/>
      <c r="G72" s="23" t="n"/>
      <c r="H72" s="25" t="n"/>
      <c r="I72" s="26" t="n"/>
      <c r="J72" s="27">
        <f>IF(N(H72)=0,"",IF(M72="SI",0,ROUND(H72*I72,2)))</f>
        <v/>
      </c>
      <c r="K72" s="27">
        <f>IF(N(H72)=0,"",H72+N(J72))</f>
        <v/>
      </c>
      <c r="L72" s="23" t="n"/>
      <c r="M72" s="23" t="n"/>
      <c r="N72" s="23" t="n"/>
    </row>
    <row r="73">
      <c r="A73" s="23" t="n"/>
      <c r="B73" s="23" t="n"/>
      <c r="C73" s="24" t="n"/>
      <c r="D73" s="23" t="n"/>
      <c r="E73" s="23" t="n"/>
      <c r="F73" s="23" t="n"/>
      <c r="G73" s="23" t="n"/>
      <c r="H73" s="25" t="n"/>
      <c r="I73" s="26" t="n"/>
      <c r="J73" s="27">
        <f>IF(N(H73)=0,"",IF(M73="SI",0,ROUND(H73*I73,2)))</f>
        <v/>
      </c>
      <c r="K73" s="27">
        <f>IF(N(H73)=0,"",H73+N(J73))</f>
        <v/>
      </c>
      <c r="L73" s="23" t="n"/>
      <c r="M73" s="23" t="n"/>
      <c r="N73" s="23" t="n"/>
    </row>
    <row r="74">
      <c r="A74" s="23" t="n"/>
      <c r="B74" s="23" t="n"/>
      <c r="C74" s="24" t="n"/>
      <c r="D74" s="23" t="n"/>
      <c r="E74" s="23" t="n"/>
      <c r="F74" s="23" t="n"/>
      <c r="G74" s="23" t="n"/>
      <c r="H74" s="25" t="n"/>
      <c r="I74" s="26" t="n"/>
      <c r="J74" s="27">
        <f>IF(N(H74)=0,"",IF(M74="SI",0,ROUND(H74*I74,2)))</f>
        <v/>
      </c>
      <c r="K74" s="27">
        <f>IF(N(H74)=0,"",H74+N(J74))</f>
        <v/>
      </c>
      <c r="L74" s="23" t="n"/>
      <c r="M74" s="23" t="n"/>
      <c r="N74" s="23" t="n"/>
    </row>
    <row r="75">
      <c r="A75" s="23" t="n"/>
      <c r="B75" s="23" t="n"/>
      <c r="C75" s="24" t="n"/>
      <c r="D75" s="23" t="n"/>
      <c r="E75" s="23" t="n"/>
      <c r="F75" s="23" t="n"/>
      <c r="G75" s="23" t="n"/>
      <c r="H75" s="25" t="n"/>
      <c r="I75" s="26" t="n"/>
      <c r="J75" s="27">
        <f>IF(N(H75)=0,"",IF(M75="SI",0,ROUND(H75*I75,2)))</f>
        <v/>
      </c>
      <c r="K75" s="27">
        <f>IF(N(H75)=0,"",H75+N(J75))</f>
        <v/>
      </c>
      <c r="L75" s="23" t="n"/>
      <c r="M75" s="23" t="n"/>
      <c r="N75" s="23" t="n"/>
    </row>
    <row r="76">
      <c r="A76" s="23" t="n"/>
      <c r="B76" s="23" t="n"/>
      <c r="C76" s="24" t="n"/>
      <c r="D76" s="23" t="n"/>
      <c r="E76" s="23" t="n"/>
      <c r="F76" s="23" t="n"/>
      <c r="G76" s="23" t="n"/>
      <c r="H76" s="25" t="n"/>
      <c r="I76" s="26" t="n"/>
      <c r="J76" s="27">
        <f>IF(N(H76)=0,"",IF(M76="SI",0,ROUND(H76*I76,2)))</f>
        <v/>
      </c>
      <c r="K76" s="27">
        <f>IF(N(H76)=0,"",H76+N(J76))</f>
        <v/>
      </c>
      <c r="L76" s="23" t="n"/>
      <c r="M76" s="23" t="n"/>
      <c r="N76" s="23" t="n"/>
    </row>
    <row r="77">
      <c r="A77" s="23" t="n"/>
      <c r="B77" s="23" t="n"/>
      <c r="C77" s="24" t="n"/>
      <c r="D77" s="23" t="n"/>
      <c r="E77" s="23" t="n"/>
      <c r="F77" s="23" t="n"/>
      <c r="G77" s="23" t="n"/>
      <c r="H77" s="25" t="n"/>
      <c r="I77" s="26" t="n"/>
      <c r="J77" s="27">
        <f>IF(N(H77)=0,"",IF(M77="SI",0,ROUND(H77*I77,2)))</f>
        <v/>
      </c>
      <c r="K77" s="27">
        <f>IF(N(H77)=0,"",H77+N(J77))</f>
        <v/>
      </c>
      <c r="L77" s="23" t="n"/>
      <c r="M77" s="23" t="n"/>
      <c r="N77" s="23" t="n"/>
    </row>
    <row r="78">
      <c r="A78" s="23" t="n"/>
      <c r="B78" s="23" t="n"/>
      <c r="C78" s="24" t="n"/>
      <c r="D78" s="23" t="n"/>
      <c r="E78" s="23" t="n"/>
      <c r="F78" s="23" t="n"/>
      <c r="G78" s="23" t="n"/>
      <c r="H78" s="25" t="n"/>
      <c r="I78" s="26" t="n"/>
      <c r="J78" s="27">
        <f>IF(N(H78)=0,"",IF(M78="SI",0,ROUND(H78*I78,2)))</f>
        <v/>
      </c>
      <c r="K78" s="27">
        <f>IF(N(H78)=0,"",H78+N(J78))</f>
        <v/>
      </c>
      <c r="L78" s="23" t="n"/>
      <c r="M78" s="23" t="n"/>
      <c r="N78" s="23" t="n"/>
    </row>
    <row r="79">
      <c r="A79" s="23" t="n"/>
      <c r="B79" s="23" t="n"/>
      <c r="C79" s="24" t="n"/>
      <c r="D79" s="23" t="n"/>
      <c r="E79" s="23" t="n"/>
      <c r="F79" s="23" t="n"/>
      <c r="G79" s="23" t="n"/>
      <c r="H79" s="25" t="n"/>
      <c r="I79" s="26" t="n"/>
      <c r="J79" s="27">
        <f>IF(N(H79)=0,"",IF(M79="SI",0,ROUND(H79*I79,2)))</f>
        <v/>
      </c>
      <c r="K79" s="27">
        <f>IF(N(H79)=0,"",H79+N(J79))</f>
        <v/>
      </c>
      <c r="L79" s="23" t="n"/>
      <c r="M79" s="23" t="n"/>
      <c r="N79" s="23" t="n"/>
    </row>
    <row r="80">
      <c r="A80" s="23" t="n"/>
      <c r="B80" s="23" t="n"/>
      <c r="C80" s="24" t="n"/>
      <c r="D80" s="23" t="n"/>
      <c r="E80" s="23" t="n"/>
      <c r="F80" s="23" t="n"/>
      <c r="G80" s="23" t="n"/>
      <c r="H80" s="25" t="n"/>
      <c r="I80" s="26" t="n"/>
      <c r="J80" s="27">
        <f>IF(N(H80)=0,"",IF(M80="SI",0,ROUND(H80*I80,2)))</f>
        <v/>
      </c>
      <c r="K80" s="27">
        <f>IF(N(H80)=0,"",H80+N(J80))</f>
        <v/>
      </c>
      <c r="L80" s="23" t="n"/>
      <c r="M80" s="23" t="n"/>
      <c r="N80" s="23" t="n"/>
    </row>
    <row r="81">
      <c r="A81" s="23" t="n"/>
      <c r="B81" s="23" t="n"/>
      <c r="C81" s="24" t="n"/>
      <c r="D81" s="23" t="n"/>
      <c r="E81" s="23" t="n"/>
      <c r="F81" s="23" t="n"/>
      <c r="G81" s="23" t="n"/>
      <c r="H81" s="25" t="n"/>
      <c r="I81" s="26" t="n"/>
      <c r="J81" s="27">
        <f>IF(N(H81)=0,"",IF(M81="SI",0,ROUND(H81*I81,2)))</f>
        <v/>
      </c>
      <c r="K81" s="27">
        <f>IF(N(H81)=0,"",H81+N(J81))</f>
        <v/>
      </c>
      <c r="L81" s="23" t="n"/>
      <c r="M81" s="23" t="n"/>
      <c r="N81" s="23" t="n"/>
    </row>
    <row r="82">
      <c r="A82" s="23" t="n"/>
      <c r="B82" s="23" t="n"/>
      <c r="C82" s="24" t="n"/>
      <c r="D82" s="23" t="n"/>
      <c r="E82" s="23" t="n"/>
      <c r="F82" s="23" t="n"/>
      <c r="G82" s="23" t="n"/>
      <c r="H82" s="25" t="n"/>
      <c r="I82" s="26" t="n"/>
      <c r="J82" s="27">
        <f>IF(N(H82)=0,"",IF(M82="SI",0,ROUND(H82*I82,2)))</f>
        <v/>
      </c>
      <c r="K82" s="27">
        <f>IF(N(H82)=0,"",H82+N(J82))</f>
        <v/>
      </c>
      <c r="L82" s="23" t="n"/>
      <c r="M82" s="23" t="n"/>
      <c r="N82" s="23" t="n"/>
    </row>
    <row r="83">
      <c r="A83" s="23" t="n"/>
      <c r="B83" s="23" t="n"/>
      <c r="C83" s="24" t="n"/>
      <c r="D83" s="23" t="n"/>
      <c r="E83" s="23" t="n"/>
      <c r="F83" s="23" t="n"/>
      <c r="G83" s="23" t="n"/>
      <c r="H83" s="25" t="n"/>
      <c r="I83" s="26" t="n"/>
      <c r="J83" s="27">
        <f>IF(N(H83)=0,"",IF(M83="SI",0,ROUND(H83*I83,2)))</f>
        <v/>
      </c>
      <c r="K83" s="27">
        <f>IF(N(H83)=0,"",H83+N(J83))</f>
        <v/>
      </c>
      <c r="L83" s="23" t="n"/>
      <c r="M83" s="23" t="n"/>
      <c r="N83" s="23" t="n"/>
    </row>
    <row r="84">
      <c r="A84" s="23" t="n"/>
      <c r="B84" s="23" t="n"/>
      <c r="C84" s="24" t="n"/>
      <c r="D84" s="23" t="n"/>
      <c r="E84" s="23" t="n"/>
      <c r="F84" s="23" t="n"/>
      <c r="G84" s="23" t="n"/>
      <c r="H84" s="25" t="n"/>
      <c r="I84" s="26" t="n"/>
      <c r="J84" s="27">
        <f>IF(N(H84)=0,"",IF(M84="SI",0,ROUND(H84*I84,2)))</f>
        <v/>
      </c>
      <c r="K84" s="27">
        <f>IF(N(H84)=0,"",H84+N(J84))</f>
        <v/>
      </c>
      <c r="L84" s="23" t="n"/>
      <c r="M84" s="23" t="n"/>
      <c r="N84" s="23" t="n"/>
    </row>
    <row r="85">
      <c r="A85" s="23" t="n"/>
      <c r="B85" s="23" t="n"/>
      <c r="C85" s="24" t="n"/>
      <c r="D85" s="23" t="n"/>
      <c r="E85" s="23" t="n"/>
      <c r="F85" s="23" t="n"/>
      <c r="G85" s="23" t="n"/>
      <c r="H85" s="25" t="n"/>
      <c r="I85" s="26" t="n"/>
      <c r="J85" s="27">
        <f>IF(N(H85)=0,"",IF(M85="SI",0,ROUND(H85*I85,2)))</f>
        <v/>
      </c>
      <c r="K85" s="27">
        <f>IF(N(H85)=0,"",H85+N(J85))</f>
        <v/>
      </c>
      <c r="L85" s="23" t="n"/>
      <c r="M85" s="23" t="n"/>
      <c r="N85" s="23" t="n"/>
    </row>
    <row r="86">
      <c r="A86" s="23" t="n"/>
      <c r="B86" s="23" t="n"/>
      <c r="C86" s="24" t="n"/>
      <c r="D86" s="23" t="n"/>
      <c r="E86" s="23" t="n"/>
      <c r="F86" s="23" t="n"/>
      <c r="G86" s="23" t="n"/>
      <c r="H86" s="25" t="n"/>
      <c r="I86" s="26" t="n"/>
      <c r="J86" s="27">
        <f>IF(N(H86)=0,"",IF(M86="SI",0,ROUND(H86*I86,2)))</f>
        <v/>
      </c>
      <c r="K86" s="27">
        <f>IF(N(H86)=0,"",H86+N(J86))</f>
        <v/>
      </c>
      <c r="L86" s="23" t="n"/>
      <c r="M86" s="23" t="n"/>
      <c r="N86" s="23" t="n"/>
    </row>
    <row r="87">
      <c r="A87" s="23" t="n"/>
      <c r="B87" s="23" t="n"/>
      <c r="C87" s="24" t="n"/>
      <c r="D87" s="23" t="n"/>
      <c r="E87" s="23" t="n"/>
      <c r="F87" s="23" t="n"/>
      <c r="G87" s="23" t="n"/>
      <c r="H87" s="25" t="n"/>
      <c r="I87" s="26" t="n"/>
      <c r="J87" s="27">
        <f>IF(N(H87)=0,"",IF(M87="SI",0,ROUND(H87*I87,2)))</f>
        <v/>
      </c>
      <c r="K87" s="27">
        <f>IF(N(H87)=0,"",H87+N(J87))</f>
        <v/>
      </c>
      <c r="L87" s="23" t="n"/>
      <c r="M87" s="23" t="n"/>
      <c r="N87" s="23" t="n"/>
    </row>
    <row r="88">
      <c r="A88" s="23" t="n"/>
      <c r="B88" s="23" t="n"/>
      <c r="C88" s="24" t="n"/>
      <c r="D88" s="23" t="n"/>
      <c r="E88" s="23" t="n"/>
      <c r="F88" s="23" t="n"/>
      <c r="G88" s="23" t="n"/>
      <c r="H88" s="25" t="n"/>
      <c r="I88" s="26" t="n"/>
      <c r="J88" s="27">
        <f>IF(N(H88)=0,"",IF(M88="SI",0,ROUND(H88*I88,2)))</f>
        <v/>
      </c>
      <c r="K88" s="27">
        <f>IF(N(H88)=0,"",H88+N(J88))</f>
        <v/>
      </c>
      <c r="L88" s="23" t="n"/>
      <c r="M88" s="23" t="n"/>
      <c r="N88" s="23" t="n"/>
    </row>
    <row r="89">
      <c r="A89" s="23" t="n"/>
      <c r="B89" s="23" t="n"/>
      <c r="C89" s="24" t="n"/>
      <c r="D89" s="23" t="n"/>
      <c r="E89" s="23" t="n"/>
      <c r="F89" s="23" t="n"/>
      <c r="G89" s="23" t="n"/>
      <c r="H89" s="25" t="n"/>
      <c r="I89" s="26" t="n"/>
      <c r="J89" s="27">
        <f>IF(N(H89)=0,"",IF(M89="SI",0,ROUND(H89*I89,2)))</f>
        <v/>
      </c>
      <c r="K89" s="27">
        <f>IF(N(H89)=0,"",H89+N(J89))</f>
        <v/>
      </c>
      <c r="L89" s="23" t="n"/>
      <c r="M89" s="23" t="n"/>
      <c r="N89" s="23" t="n"/>
    </row>
    <row r="90">
      <c r="A90" s="23" t="n"/>
      <c r="B90" s="23" t="n"/>
      <c r="C90" s="24" t="n"/>
      <c r="D90" s="23" t="n"/>
      <c r="E90" s="23" t="n"/>
      <c r="F90" s="23" t="n"/>
      <c r="G90" s="23" t="n"/>
      <c r="H90" s="25" t="n"/>
      <c r="I90" s="26" t="n"/>
      <c r="J90" s="27">
        <f>IF(N(H90)=0,"",IF(M90="SI",0,ROUND(H90*I90,2)))</f>
        <v/>
      </c>
      <c r="K90" s="27">
        <f>IF(N(H90)=0,"",H90+N(J90))</f>
        <v/>
      </c>
      <c r="L90" s="23" t="n"/>
      <c r="M90" s="23" t="n"/>
      <c r="N90" s="23" t="n"/>
    </row>
    <row r="91">
      <c r="A91" s="23" t="n"/>
      <c r="B91" s="23" t="n"/>
      <c r="C91" s="24" t="n"/>
      <c r="D91" s="23" t="n"/>
      <c r="E91" s="23" t="n"/>
      <c r="F91" s="23" t="n"/>
      <c r="G91" s="23" t="n"/>
      <c r="H91" s="25" t="n"/>
      <c r="I91" s="26" t="n"/>
      <c r="J91" s="27">
        <f>IF(N(H91)=0,"",IF(M91="SI",0,ROUND(H91*I91,2)))</f>
        <v/>
      </c>
      <c r="K91" s="27">
        <f>IF(N(H91)=0,"",H91+N(J91))</f>
        <v/>
      </c>
      <c r="L91" s="23" t="n"/>
      <c r="M91" s="23" t="n"/>
      <c r="N91" s="23" t="n"/>
    </row>
    <row r="92">
      <c r="A92" s="23" t="n"/>
      <c r="B92" s="23" t="n"/>
      <c r="C92" s="24" t="n"/>
      <c r="D92" s="23" t="n"/>
      <c r="E92" s="23" t="n"/>
      <c r="F92" s="23" t="n"/>
      <c r="G92" s="23" t="n"/>
      <c r="H92" s="25" t="n"/>
      <c r="I92" s="26" t="n"/>
      <c r="J92" s="27">
        <f>IF(N(H92)=0,"",IF(M92="SI",0,ROUND(H92*I92,2)))</f>
        <v/>
      </c>
      <c r="K92" s="27">
        <f>IF(N(H92)=0,"",H92+N(J92))</f>
        <v/>
      </c>
      <c r="L92" s="23" t="n"/>
      <c r="M92" s="23" t="n"/>
      <c r="N92" s="23" t="n"/>
    </row>
    <row r="93">
      <c r="A93" s="23" t="n"/>
      <c r="B93" s="23" t="n"/>
      <c r="C93" s="24" t="n"/>
      <c r="D93" s="23" t="n"/>
      <c r="E93" s="23" t="n"/>
      <c r="F93" s="23" t="n"/>
      <c r="G93" s="23" t="n"/>
      <c r="H93" s="25" t="n"/>
      <c r="I93" s="26" t="n"/>
      <c r="J93" s="27">
        <f>IF(N(H93)=0,"",IF(M93="SI",0,ROUND(H93*I93,2)))</f>
        <v/>
      </c>
      <c r="K93" s="27">
        <f>IF(N(H93)=0,"",H93+N(J93))</f>
        <v/>
      </c>
      <c r="L93" s="23" t="n"/>
      <c r="M93" s="23" t="n"/>
      <c r="N93" s="23" t="n"/>
    </row>
    <row r="94">
      <c r="A94" s="23" t="n"/>
      <c r="B94" s="23" t="n"/>
      <c r="C94" s="24" t="n"/>
      <c r="D94" s="23" t="n"/>
      <c r="E94" s="23" t="n"/>
      <c r="F94" s="23" t="n"/>
      <c r="G94" s="23" t="n"/>
      <c r="H94" s="25" t="n"/>
      <c r="I94" s="26" t="n"/>
      <c r="J94" s="27">
        <f>IF(N(H94)=0,"",IF(M94="SI",0,ROUND(H94*I94,2)))</f>
        <v/>
      </c>
      <c r="K94" s="27">
        <f>IF(N(H94)=0,"",H94+N(J94))</f>
        <v/>
      </c>
      <c r="L94" s="23" t="n"/>
      <c r="M94" s="23" t="n"/>
      <c r="N94" s="23" t="n"/>
    </row>
    <row r="95">
      <c r="A95" s="23" t="n"/>
      <c r="B95" s="23" t="n"/>
      <c r="C95" s="24" t="n"/>
      <c r="D95" s="23" t="n"/>
      <c r="E95" s="23" t="n"/>
      <c r="F95" s="23" t="n"/>
      <c r="G95" s="23" t="n"/>
      <c r="H95" s="25" t="n"/>
      <c r="I95" s="26" t="n"/>
      <c r="J95" s="27">
        <f>IF(N(H95)=0,"",IF(M95="SI",0,ROUND(H95*I95,2)))</f>
        <v/>
      </c>
      <c r="K95" s="27">
        <f>IF(N(H95)=0,"",H95+N(J95))</f>
        <v/>
      </c>
      <c r="L95" s="23" t="n"/>
      <c r="M95" s="23" t="n"/>
      <c r="N95" s="23" t="n"/>
    </row>
    <row r="96">
      <c r="A96" s="23" t="n"/>
      <c r="B96" s="23" t="n"/>
      <c r="C96" s="24" t="n"/>
      <c r="D96" s="23" t="n"/>
      <c r="E96" s="23" t="n"/>
      <c r="F96" s="23" t="n"/>
      <c r="G96" s="23" t="n"/>
      <c r="H96" s="25" t="n"/>
      <c r="I96" s="26" t="n"/>
      <c r="J96" s="27">
        <f>IF(N(H96)=0,"",IF(M96="SI",0,ROUND(H96*I96,2)))</f>
        <v/>
      </c>
      <c r="K96" s="27">
        <f>IF(N(H96)=0,"",H96+N(J96))</f>
        <v/>
      </c>
      <c r="L96" s="23" t="n"/>
      <c r="M96" s="23" t="n"/>
      <c r="N96" s="23" t="n"/>
    </row>
    <row r="97">
      <c r="A97" s="23" t="n"/>
      <c r="B97" s="23" t="n"/>
      <c r="C97" s="24" t="n"/>
      <c r="D97" s="23" t="n"/>
      <c r="E97" s="23" t="n"/>
      <c r="F97" s="23" t="n"/>
      <c r="G97" s="23" t="n"/>
      <c r="H97" s="25" t="n"/>
      <c r="I97" s="26" t="n"/>
      <c r="J97" s="27">
        <f>IF(N(H97)=0,"",IF(M97="SI",0,ROUND(H97*I97,2)))</f>
        <v/>
      </c>
      <c r="K97" s="27">
        <f>IF(N(H97)=0,"",H97+N(J97))</f>
        <v/>
      </c>
      <c r="L97" s="23" t="n"/>
      <c r="M97" s="23" t="n"/>
      <c r="N97" s="23" t="n"/>
    </row>
    <row r="98">
      <c r="A98" s="23" t="n"/>
      <c r="B98" s="23" t="n"/>
      <c r="C98" s="24" t="n"/>
      <c r="D98" s="23" t="n"/>
      <c r="E98" s="23" t="n"/>
      <c r="F98" s="23" t="n"/>
      <c r="G98" s="23" t="n"/>
      <c r="H98" s="25" t="n"/>
      <c r="I98" s="26" t="n"/>
      <c r="J98" s="27">
        <f>IF(N(H98)=0,"",IF(M98="SI",0,ROUND(H98*I98,2)))</f>
        <v/>
      </c>
      <c r="K98" s="27">
        <f>IF(N(H98)=0,"",H98+N(J98))</f>
        <v/>
      </c>
      <c r="L98" s="23" t="n"/>
      <c r="M98" s="23" t="n"/>
      <c r="N98" s="23" t="n"/>
    </row>
    <row r="99">
      <c r="A99" s="23" t="n"/>
      <c r="B99" s="23" t="n"/>
      <c r="C99" s="24" t="n"/>
      <c r="D99" s="23" t="n"/>
      <c r="E99" s="23" t="n"/>
      <c r="F99" s="23" t="n"/>
      <c r="G99" s="23" t="n"/>
      <c r="H99" s="25" t="n"/>
      <c r="I99" s="26" t="n"/>
      <c r="J99" s="27">
        <f>IF(N(H99)=0,"",IF(M99="SI",0,ROUND(H99*I99,2)))</f>
        <v/>
      </c>
      <c r="K99" s="27">
        <f>IF(N(H99)=0,"",H99+N(J99))</f>
        <v/>
      </c>
      <c r="L99" s="23" t="n"/>
      <c r="M99" s="23" t="n"/>
      <c r="N99" s="23" t="n"/>
    </row>
    <row r="100">
      <c r="A100" s="23" t="n"/>
      <c r="B100" s="23" t="n"/>
      <c r="C100" s="24" t="n"/>
      <c r="D100" s="23" t="n"/>
      <c r="E100" s="23" t="n"/>
      <c r="F100" s="23" t="n"/>
      <c r="G100" s="23" t="n"/>
      <c r="H100" s="25" t="n"/>
      <c r="I100" s="26" t="n"/>
      <c r="J100" s="27">
        <f>IF(N(H100)=0,"",IF(M100="SI",0,ROUND(H100*I100,2)))</f>
        <v/>
      </c>
      <c r="K100" s="27">
        <f>IF(N(H100)=0,"",H100+N(J100))</f>
        <v/>
      </c>
      <c r="L100" s="23" t="n"/>
      <c r="M100" s="23" t="n"/>
      <c r="N100" s="23" t="n"/>
    </row>
    <row r="101">
      <c r="A101" s="23" t="n"/>
      <c r="B101" s="23" t="n"/>
      <c r="C101" s="24" t="n"/>
      <c r="D101" s="23" t="n"/>
      <c r="E101" s="23" t="n"/>
      <c r="F101" s="23" t="n"/>
      <c r="G101" s="23" t="n"/>
      <c r="H101" s="25" t="n"/>
      <c r="I101" s="26" t="n"/>
      <c r="J101" s="27">
        <f>IF(N(H101)=0,"",IF(M101="SI",0,ROUND(H101*I101,2)))</f>
        <v/>
      </c>
      <c r="K101" s="27">
        <f>IF(N(H101)=0,"",H101+N(J101))</f>
        <v/>
      </c>
      <c r="L101" s="23" t="n"/>
      <c r="M101" s="23" t="n"/>
      <c r="N101" s="23" t="n"/>
    </row>
    <row r="102">
      <c r="A102" s="23" t="n"/>
      <c r="B102" s="23" t="n"/>
      <c r="C102" s="24" t="n"/>
      <c r="D102" s="23" t="n"/>
      <c r="E102" s="23" t="n"/>
      <c r="F102" s="23" t="n"/>
      <c r="G102" s="23" t="n"/>
      <c r="H102" s="25" t="n"/>
      <c r="I102" s="26" t="n"/>
      <c r="J102" s="27">
        <f>IF(N(H102)=0,"",IF(M102="SI",0,ROUND(H102*I102,2)))</f>
        <v/>
      </c>
      <c r="K102" s="27">
        <f>IF(N(H102)=0,"",H102+N(J102))</f>
        <v/>
      </c>
      <c r="L102" s="23" t="n"/>
      <c r="M102" s="23" t="n"/>
      <c r="N102" s="23" t="n"/>
    </row>
    <row r="103">
      <c r="A103" s="23" t="n"/>
      <c r="B103" s="23" t="n"/>
      <c r="C103" s="24" t="n"/>
      <c r="D103" s="23" t="n"/>
      <c r="E103" s="23" t="n"/>
      <c r="F103" s="23" t="n"/>
      <c r="G103" s="23" t="n"/>
      <c r="H103" s="25" t="n"/>
      <c r="I103" s="26" t="n"/>
      <c r="J103" s="27">
        <f>IF(N(H103)=0,"",IF(M103="SI",0,ROUND(H103*I103,2)))</f>
        <v/>
      </c>
      <c r="K103" s="27">
        <f>IF(N(H103)=0,"",H103+N(J103))</f>
        <v/>
      </c>
      <c r="L103" s="23" t="n"/>
      <c r="M103" s="23" t="n"/>
      <c r="N103" s="23" t="n"/>
    </row>
    <row r="104">
      <c r="A104" s="23" t="n"/>
      <c r="B104" s="23" t="n"/>
      <c r="C104" s="24" t="n"/>
      <c r="D104" s="23" t="n"/>
      <c r="E104" s="23" t="n"/>
      <c r="F104" s="23" t="n"/>
      <c r="G104" s="23" t="n"/>
      <c r="H104" s="25" t="n"/>
      <c r="I104" s="26" t="n"/>
      <c r="J104" s="27">
        <f>IF(N(H104)=0,"",IF(M104="SI",0,ROUND(H104*I104,2)))</f>
        <v/>
      </c>
      <c r="K104" s="27">
        <f>IF(N(H104)=0,"",H104+N(J104))</f>
        <v/>
      </c>
      <c r="L104" s="23" t="n"/>
      <c r="M104" s="23" t="n"/>
      <c r="N104" s="23" t="n"/>
    </row>
    <row r="105">
      <c r="A105" s="23" t="n"/>
      <c r="B105" s="23" t="n"/>
      <c r="C105" s="24" t="n"/>
      <c r="D105" s="23" t="n"/>
      <c r="E105" s="23" t="n"/>
      <c r="F105" s="23" t="n"/>
      <c r="G105" s="23" t="n"/>
      <c r="H105" s="25" t="n"/>
      <c r="I105" s="26" t="n"/>
      <c r="J105" s="27">
        <f>IF(N(H105)=0,"",IF(M105="SI",0,ROUND(H105*I105,2)))</f>
        <v/>
      </c>
      <c r="K105" s="27">
        <f>IF(N(H105)=0,"",H105+N(J105))</f>
        <v/>
      </c>
      <c r="L105" s="23" t="n"/>
      <c r="M105" s="23" t="n"/>
      <c r="N105" s="23" t="n"/>
    </row>
    <row r="106">
      <c r="A106" s="23" t="n"/>
      <c r="B106" s="23" t="n"/>
      <c r="C106" s="24" t="n"/>
      <c r="D106" s="23" t="n"/>
      <c r="E106" s="23" t="n"/>
      <c r="F106" s="23" t="n"/>
      <c r="G106" s="23" t="n"/>
      <c r="H106" s="25" t="n"/>
      <c r="I106" s="26" t="n"/>
      <c r="J106" s="27">
        <f>IF(N(H106)=0,"",IF(M106="SI",0,ROUND(H106*I106,2)))</f>
        <v/>
      </c>
      <c r="K106" s="27">
        <f>IF(N(H106)=0,"",H106+N(J106))</f>
        <v/>
      </c>
      <c r="L106" s="23" t="n"/>
      <c r="M106" s="23" t="n"/>
      <c r="N106" s="23" t="n"/>
    </row>
    <row r="107">
      <c r="A107" s="23" t="n"/>
      <c r="B107" s="23" t="n"/>
      <c r="C107" s="24" t="n"/>
      <c r="D107" s="23" t="n"/>
      <c r="E107" s="23" t="n"/>
      <c r="F107" s="23" t="n"/>
      <c r="G107" s="23" t="n"/>
      <c r="H107" s="25" t="n"/>
      <c r="I107" s="26" t="n"/>
      <c r="J107" s="27">
        <f>IF(N(H107)=0,"",IF(M107="SI",0,ROUND(H107*I107,2)))</f>
        <v/>
      </c>
      <c r="K107" s="27">
        <f>IF(N(H107)=0,"",H107+N(J107))</f>
        <v/>
      </c>
      <c r="L107" s="23" t="n"/>
      <c r="M107" s="23" t="n"/>
      <c r="N107" s="23" t="n"/>
    </row>
    <row r="108">
      <c r="A108" s="23" t="n"/>
      <c r="B108" s="23" t="n"/>
      <c r="C108" s="24" t="n"/>
      <c r="D108" s="23" t="n"/>
      <c r="E108" s="23" t="n"/>
      <c r="F108" s="23" t="n"/>
      <c r="G108" s="23" t="n"/>
      <c r="H108" s="25" t="n"/>
      <c r="I108" s="26" t="n"/>
      <c r="J108" s="27">
        <f>IF(N(H108)=0,"",IF(M108="SI",0,ROUND(H108*I108,2)))</f>
        <v/>
      </c>
      <c r="K108" s="27">
        <f>IF(N(H108)=0,"",H108+N(J108))</f>
        <v/>
      </c>
      <c r="L108" s="23" t="n"/>
      <c r="M108" s="23" t="n"/>
      <c r="N108" s="23" t="n"/>
    </row>
    <row r="109">
      <c r="A109" s="23" t="n"/>
      <c r="B109" s="23" t="n"/>
      <c r="C109" s="24" t="n"/>
      <c r="D109" s="23" t="n"/>
      <c r="E109" s="23" t="n"/>
      <c r="F109" s="23" t="n"/>
      <c r="G109" s="23" t="n"/>
      <c r="H109" s="25" t="n"/>
      <c r="I109" s="26" t="n"/>
      <c r="J109" s="27">
        <f>IF(N(H109)=0,"",IF(M109="SI",0,ROUND(H109*I109,2)))</f>
        <v/>
      </c>
      <c r="K109" s="27">
        <f>IF(N(H109)=0,"",H109+N(J109))</f>
        <v/>
      </c>
      <c r="L109" s="23" t="n"/>
      <c r="M109" s="23" t="n"/>
      <c r="N109" s="23" t="n"/>
    </row>
    <row r="110">
      <c r="A110" s="23" t="n"/>
      <c r="B110" s="23" t="n"/>
      <c r="C110" s="24" t="n"/>
      <c r="D110" s="23" t="n"/>
      <c r="E110" s="23" t="n"/>
      <c r="F110" s="23" t="n"/>
      <c r="G110" s="23" t="n"/>
      <c r="H110" s="25" t="n"/>
      <c r="I110" s="26" t="n"/>
      <c r="J110" s="27">
        <f>IF(N(H110)=0,"",IF(M110="SI",0,ROUND(H110*I110,2)))</f>
        <v/>
      </c>
      <c r="K110" s="27">
        <f>IF(N(H110)=0,"",H110+N(J110))</f>
        <v/>
      </c>
      <c r="L110" s="23" t="n"/>
      <c r="M110" s="23" t="n"/>
      <c r="N110" s="23" t="n"/>
    </row>
    <row r="111">
      <c r="A111" s="23" t="n"/>
      <c r="B111" s="23" t="n"/>
      <c r="C111" s="24" t="n"/>
      <c r="D111" s="23" t="n"/>
      <c r="E111" s="23" t="n"/>
      <c r="F111" s="23" t="n"/>
      <c r="G111" s="23" t="n"/>
      <c r="H111" s="25" t="n"/>
      <c r="I111" s="26" t="n"/>
      <c r="J111" s="27">
        <f>IF(N(H111)=0,"",IF(M111="SI",0,ROUND(H111*I111,2)))</f>
        <v/>
      </c>
      <c r="K111" s="27">
        <f>IF(N(H111)=0,"",H111+N(J111))</f>
        <v/>
      </c>
      <c r="L111" s="23" t="n"/>
      <c r="M111" s="23" t="n"/>
      <c r="N111" s="23" t="n"/>
    </row>
    <row r="112">
      <c r="A112" s="23" t="n"/>
      <c r="B112" s="23" t="n"/>
      <c r="C112" s="24" t="n"/>
      <c r="D112" s="23" t="n"/>
      <c r="E112" s="23" t="n"/>
      <c r="F112" s="23" t="n"/>
      <c r="G112" s="23" t="n"/>
      <c r="H112" s="25" t="n"/>
      <c r="I112" s="26" t="n"/>
      <c r="J112" s="27">
        <f>IF(N(H112)=0,"",IF(M112="SI",0,ROUND(H112*I112,2)))</f>
        <v/>
      </c>
      <c r="K112" s="27">
        <f>IF(N(H112)=0,"",H112+N(J112))</f>
        <v/>
      </c>
      <c r="L112" s="23" t="n"/>
      <c r="M112" s="23" t="n"/>
      <c r="N112" s="23" t="n"/>
    </row>
    <row r="113">
      <c r="A113" s="23" t="n"/>
      <c r="B113" s="23" t="n"/>
      <c r="C113" s="24" t="n"/>
      <c r="D113" s="23" t="n"/>
      <c r="E113" s="23" t="n"/>
      <c r="F113" s="23" t="n"/>
      <c r="G113" s="23" t="n"/>
      <c r="H113" s="25" t="n"/>
      <c r="I113" s="26" t="n"/>
      <c r="J113" s="27">
        <f>IF(N(H113)=0,"",IF(M113="SI",0,ROUND(H113*I113,2)))</f>
        <v/>
      </c>
      <c r="K113" s="27">
        <f>IF(N(H113)=0,"",H113+N(J113))</f>
        <v/>
      </c>
      <c r="L113" s="23" t="n"/>
      <c r="M113" s="23" t="n"/>
      <c r="N113" s="23" t="n"/>
    </row>
    <row r="114">
      <c r="A114" s="23" t="n"/>
      <c r="B114" s="23" t="n"/>
      <c r="C114" s="24" t="n"/>
      <c r="D114" s="23" t="n"/>
      <c r="E114" s="23" t="n"/>
      <c r="F114" s="23" t="n"/>
      <c r="G114" s="23" t="n"/>
      <c r="H114" s="25" t="n"/>
      <c r="I114" s="26" t="n"/>
      <c r="J114" s="27">
        <f>IF(N(H114)=0,"",IF(M114="SI",0,ROUND(H114*I114,2)))</f>
        <v/>
      </c>
      <c r="K114" s="27">
        <f>IF(N(H114)=0,"",H114+N(J114))</f>
        <v/>
      </c>
      <c r="L114" s="23" t="n"/>
      <c r="M114" s="23" t="n"/>
      <c r="N114" s="23" t="n"/>
    </row>
    <row r="115">
      <c r="A115" s="23" t="n"/>
      <c r="B115" s="23" t="n"/>
      <c r="C115" s="24" t="n"/>
      <c r="D115" s="23" t="n"/>
      <c r="E115" s="23" t="n"/>
      <c r="F115" s="23" t="n"/>
      <c r="G115" s="23" t="n"/>
      <c r="H115" s="25" t="n"/>
      <c r="I115" s="26" t="n"/>
      <c r="J115" s="27">
        <f>IF(N(H115)=0,"",IF(M115="SI",0,ROUND(H115*I115,2)))</f>
        <v/>
      </c>
      <c r="K115" s="27">
        <f>IF(N(H115)=0,"",H115+N(J115))</f>
        <v/>
      </c>
      <c r="L115" s="23" t="n"/>
      <c r="M115" s="23" t="n"/>
      <c r="N115" s="23" t="n"/>
    </row>
    <row r="116">
      <c r="A116" s="23" t="n"/>
      <c r="B116" s="23" t="n"/>
      <c r="C116" s="24" t="n"/>
      <c r="D116" s="23" t="n"/>
      <c r="E116" s="23" t="n"/>
      <c r="F116" s="23" t="n"/>
      <c r="G116" s="23" t="n"/>
      <c r="H116" s="25" t="n"/>
      <c r="I116" s="26" t="n"/>
      <c r="J116" s="27">
        <f>IF(N(H116)=0,"",IF(M116="SI",0,ROUND(H116*I116,2)))</f>
        <v/>
      </c>
      <c r="K116" s="27">
        <f>IF(N(H116)=0,"",H116+N(J116))</f>
        <v/>
      </c>
      <c r="L116" s="23" t="n"/>
      <c r="M116" s="23" t="n"/>
      <c r="N116" s="23" t="n"/>
    </row>
    <row r="117">
      <c r="A117" s="23" t="n"/>
      <c r="B117" s="23" t="n"/>
      <c r="C117" s="24" t="n"/>
      <c r="D117" s="23" t="n"/>
      <c r="E117" s="23" t="n"/>
      <c r="F117" s="23" t="n"/>
      <c r="G117" s="23" t="n"/>
      <c r="H117" s="25" t="n"/>
      <c r="I117" s="26" t="n"/>
      <c r="J117" s="27">
        <f>IF(N(H117)=0,"",IF(M117="SI",0,ROUND(H117*I117,2)))</f>
        <v/>
      </c>
      <c r="K117" s="27">
        <f>IF(N(H117)=0,"",H117+N(J117))</f>
        <v/>
      </c>
      <c r="L117" s="23" t="n"/>
      <c r="M117" s="23" t="n"/>
      <c r="N117" s="23" t="n"/>
    </row>
    <row r="118">
      <c r="A118" s="23" t="n"/>
      <c r="B118" s="23" t="n"/>
      <c r="C118" s="24" t="n"/>
      <c r="D118" s="23" t="n"/>
      <c r="E118" s="23" t="n"/>
      <c r="F118" s="23" t="n"/>
      <c r="G118" s="23" t="n"/>
      <c r="H118" s="25" t="n"/>
      <c r="I118" s="26" t="n"/>
      <c r="J118" s="27">
        <f>IF(N(H118)=0,"",IF(M118="SI",0,ROUND(H118*I118,2)))</f>
        <v/>
      </c>
      <c r="K118" s="27">
        <f>IF(N(H118)=0,"",H118+N(J118))</f>
        <v/>
      </c>
      <c r="L118" s="23" t="n"/>
      <c r="M118" s="23" t="n"/>
      <c r="N118" s="23" t="n"/>
    </row>
    <row r="119">
      <c r="A119" s="23" t="n"/>
      <c r="B119" s="23" t="n"/>
      <c r="C119" s="24" t="n"/>
      <c r="D119" s="23" t="n"/>
      <c r="E119" s="23" t="n"/>
      <c r="F119" s="23" t="n"/>
      <c r="G119" s="23" t="n"/>
      <c r="H119" s="25" t="n"/>
      <c r="I119" s="26" t="n"/>
      <c r="J119" s="27">
        <f>IF(N(H119)=0,"",IF(M119="SI",0,ROUND(H119*I119,2)))</f>
        <v/>
      </c>
      <c r="K119" s="27">
        <f>IF(N(H119)=0,"",H119+N(J119))</f>
        <v/>
      </c>
      <c r="L119" s="23" t="n"/>
      <c r="M119" s="23" t="n"/>
      <c r="N119" s="23" t="n"/>
    </row>
    <row r="120">
      <c r="A120" s="23" t="n"/>
      <c r="B120" s="23" t="n"/>
      <c r="C120" s="24" t="n"/>
      <c r="D120" s="23" t="n"/>
      <c r="E120" s="23" t="n"/>
      <c r="F120" s="23" t="n"/>
      <c r="G120" s="23" t="n"/>
      <c r="H120" s="25" t="n"/>
      <c r="I120" s="26" t="n"/>
      <c r="J120" s="27">
        <f>IF(N(H120)=0,"",IF(M120="SI",0,ROUND(H120*I120,2)))</f>
        <v/>
      </c>
      <c r="K120" s="27">
        <f>IF(N(H120)=0,"",H120+N(J120))</f>
        <v/>
      </c>
      <c r="L120" s="23" t="n"/>
      <c r="M120" s="23" t="n"/>
      <c r="N120" s="23" t="n"/>
    </row>
    <row r="121">
      <c r="A121" s="23" t="n"/>
      <c r="B121" s="23" t="n"/>
      <c r="C121" s="24" t="n"/>
      <c r="D121" s="23" t="n"/>
      <c r="E121" s="23" t="n"/>
      <c r="F121" s="23" t="n"/>
      <c r="G121" s="23" t="n"/>
      <c r="H121" s="25" t="n"/>
      <c r="I121" s="26" t="n"/>
      <c r="J121" s="27">
        <f>IF(N(H121)=0,"",IF(M121="SI",0,ROUND(H121*I121,2)))</f>
        <v/>
      </c>
      <c r="K121" s="27">
        <f>IF(N(H121)=0,"",H121+N(J121))</f>
        <v/>
      </c>
      <c r="L121" s="23" t="n"/>
      <c r="M121" s="23" t="n"/>
      <c r="N121" s="23" t="n"/>
    </row>
    <row r="122">
      <c r="A122" s="23" t="n"/>
      <c r="B122" s="23" t="n"/>
      <c r="C122" s="24" t="n"/>
      <c r="D122" s="23" t="n"/>
      <c r="E122" s="23" t="n"/>
      <c r="F122" s="23" t="n"/>
      <c r="G122" s="23" t="n"/>
      <c r="H122" s="25" t="n"/>
      <c r="I122" s="26" t="n"/>
      <c r="J122" s="27">
        <f>IF(N(H122)=0,"",IF(M122="SI",0,ROUND(H122*I122,2)))</f>
        <v/>
      </c>
      <c r="K122" s="27">
        <f>IF(N(H122)=0,"",H122+N(J122))</f>
        <v/>
      </c>
      <c r="L122" s="23" t="n"/>
      <c r="M122" s="23" t="n"/>
      <c r="N122" s="23" t="n"/>
    </row>
    <row r="123">
      <c r="A123" s="23" t="n"/>
      <c r="B123" s="23" t="n"/>
      <c r="C123" s="24" t="n"/>
      <c r="D123" s="23" t="n"/>
      <c r="E123" s="23" t="n"/>
      <c r="F123" s="23" t="n"/>
      <c r="G123" s="23" t="n"/>
      <c r="H123" s="25" t="n"/>
      <c r="I123" s="26" t="n"/>
      <c r="J123" s="27">
        <f>IF(N(H123)=0,"",IF(M123="SI",0,ROUND(H123*I123,2)))</f>
        <v/>
      </c>
      <c r="K123" s="27">
        <f>IF(N(H123)=0,"",H123+N(J123))</f>
        <v/>
      </c>
      <c r="L123" s="23" t="n"/>
      <c r="M123" s="23" t="n"/>
      <c r="N123" s="23" t="n"/>
    </row>
    <row r="124">
      <c r="A124" s="23" t="n"/>
      <c r="B124" s="23" t="n"/>
      <c r="C124" s="24" t="n"/>
      <c r="D124" s="23" t="n"/>
      <c r="E124" s="23" t="n"/>
      <c r="F124" s="23" t="n"/>
      <c r="G124" s="23" t="n"/>
      <c r="H124" s="25" t="n"/>
      <c r="I124" s="26" t="n"/>
      <c r="J124" s="27">
        <f>IF(N(H124)=0,"",IF(M124="SI",0,ROUND(H124*I124,2)))</f>
        <v/>
      </c>
      <c r="K124" s="27">
        <f>IF(N(H124)=0,"",H124+N(J124))</f>
        <v/>
      </c>
      <c r="L124" s="23" t="n"/>
      <c r="M124" s="23" t="n"/>
      <c r="N124" s="23" t="n"/>
    </row>
    <row r="125">
      <c r="A125" s="23" t="n"/>
      <c r="B125" s="23" t="n"/>
      <c r="C125" s="24" t="n"/>
      <c r="D125" s="23" t="n"/>
      <c r="E125" s="23" t="n"/>
      <c r="F125" s="23" t="n"/>
      <c r="G125" s="23" t="n"/>
      <c r="H125" s="25" t="n"/>
      <c r="I125" s="26" t="n"/>
      <c r="J125" s="27">
        <f>IF(N(H125)=0,"",IF(M125="SI",0,ROUND(H125*I125,2)))</f>
        <v/>
      </c>
      <c r="K125" s="27">
        <f>IF(N(H125)=0,"",H125+N(J125))</f>
        <v/>
      </c>
      <c r="L125" s="23" t="n"/>
      <c r="M125" s="23" t="n"/>
      <c r="N125" s="23" t="n"/>
    </row>
    <row r="126">
      <c r="A126" s="23" t="n"/>
      <c r="B126" s="23" t="n"/>
      <c r="C126" s="24" t="n"/>
      <c r="D126" s="23" t="n"/>
      <c r="E126" s="23" t="n"/>
      <c r="F126" s="23" t="n"/>
      <c r="G126" s="23" t="n"/>
      <c r="H126" s="25" t="n"/>
      <c r="I126" s="26" t="n"/>
      <c r="J126" s="27">
        <f>IF(N(H126)=0,"",IF(M126="SI",0,ROUND(H126*I126,2)))</f>
        <v/>
      </c>
      <c r="K126" s="27">
        <f>IF(N(H126)=0,"",H126+N(J126))</f>
        <v/>
      </c>
      <c r="L126" s="23" t="n"/>
      <c r="M126" s="23" t="n"/>
      <c r="N126" s="23" t="n"/>
    </row>
    <row r="127">
      <c r="A127" s="23" t="n"/>
      <c r="B127" s="23" t="n"/>
      <c r="C127" s="24" t="n"/>
      <c r="D127" s="23" t="n"/>
      <c r="E127" s="23" t="n"/>
      <c r="F127" s="23" t="n"/>
      <c r="G127" s="23" t="n"/>
      <c r="H127" s="25" t="n"/>
      <c r="I127" s="26" t="n"/>
      <c r="J127" s="27">
        <f>IF(N(H127)=0,"",IF(M127="SI",0,ROUND(H127*I127,2)))</f>
        <v/>
      </c>
      <c r="K127" s="27">
        <f>IF(N(H127)=0,"",H127+N(J127))</f>
        <v/>
      </c>
      <c r="L127" s="23" t="n"/>
      <c r="M127" s="23" t="n"/>
      <c r="N127" s="23" t="n"/>
    </row>
    <row r="128">
      <c r="A128" s="23" t="n"/>
      <c r="B128" s="23" t="n"/>
      <c r="C128" s="24" t="n"/>
      <c r="D128" s="23" t="n"/>
      <c r="E128" s="23" t="n"/>
      <c r="F128" s="23" t="n"/>
      <c r="G128" s="23" t="n"/>
      <c r="H128" s="25" t="n"/>
      <c r="I128" s="26" t="n"/>
      <c r="J128" s="27">
        <f>IF(N(H128)=0,"",IF(M128="SI",0,ROUND(H128*I128,2)))</f>
        <v/>
      </c>
      <c r="K128" s="27">
        <f>IF(N(H128)=0,"",H128+N(J128))</f>
        <v/>
      </c>
      <c r="L128" s="23" t="n"/>
      <c r="M128" s="23" t="n"/>
      <c r="N128" s="23" t="n"/>
    </row>
    <row r="129">
      <c r="A129" s="23" t="n"/>
      <c r="B129" s="23" t="n"/>
      <c r="C129" s="24" t="n"/>
      <c r="D129" s="23" t="n"/>
      <c r="E129" s="23" t="n"/>
      <c r="F129" s="23" t="n"/>
      <c r="G129" s="23" t="n"/>
      <c r="H129" s="25" t="n"/>
      <c r="I129" s="26" t="n"/>
      <c r="J129" s="27">
        <f>IF(N(H129)=0,"",IF(M129="SI",0,ROUND(H129*I129,2)))</f>
        <v/>
      </c>
      <c r="K129" s="27">
        <f>IF(N(H129)=0,"",H129+N(J129))</f>
        <v/>
      </c>
      <c r="L129" s="23" t="n"/>
      <c r="M129" s="23" t="n"/>
      <c r="N129" s="23" t="n"/>
    </row>
    <row r="130">
      <c r="A130" s="23" t="n"/>
      <c r="B130" s="23" t="n"/>
      <c r="C130" s="24" t="n"/>
      <c r="D130" s="23" t="n"/>
      <c r="E130" s="23" t="n"/>
      <c r="F130" s="23" t="n"/>
      <c r="G130" s="23" t="n"/>
      <c r="H130" s="25" t="n"/>
      <c r="I130" s="26" t="n"/>
      <c r="J130" s="27">
        <f>IF(N(H130)=0,"",IF(M130="SI",0,ROUND(H130*I130,2)))</f>
        <v/>
      </c>
      <c r="K130" s="27">
        <f>IF(N(H130)=0,"",H130+N(J130))</f>
        <v/>
      </c>
      <c r="L130" s="23" t="n"/>
      <c r="M130" s="23" t="n"/>
      <c r="N130" s="23" t="n"/>
    </row>
    <row r="131">
      <c r="A131" s="23" t="n"/>
      <c r="B131" s="23" t="n"/>
      <c r="C131" s="24" t="n"/>
      <c r="D131" s="23" t="n"/>
      <c r="E131" s="23" t="n"/>
      <c r="F131" s="23" t="n"/>
      <c r="G131" s="23" t="n"/>
      <c r="H131" s="25" t="n"/>
      <c r="I131" s="26" t="n"/>
      <c r="J131" s="27">
        <f>IF(N(H131)=0,"",IF(M131="SI",0,ROUND(H131*I131,2)))</f>
        <v/>
      </c>
      <c r="K131" s="27">
        <f>IF(N(H131)=0,"",H131+N(J131))</f>
        <v/>
      </c>
      <c r="L131" s="23" t="n"/>
      <c r="M131" s="23" t="n"/>
      <c r="N131" s="23" t="n"/>
    </row>
    <row r="132">
      <c r="A132" s="23" t="n"/>
      <c r="B132" s="23" t="n"/>
      <c r="C132" s="24" t="n"/>
      <c r="D132" s="23" t="n"/>
      <c r="E132" s="23" t="n"/>
      <c r="F132" s="23" t="n"/>
      <c r="G132" s="23" t="n"/>
      <c r="H132" s="25" t="n"/>
      <c r="I132" s="26" t="n"/>
      <c r="J132" s="27">
        <f>IF(N(H132)=0,"",IF(M132="SI",0,ROUND(H132*I132,2)))</f>
        <v/>
      </c>
      <c r="K132" s="27">
        <f>IF(N(H132)=0,"",H132+N(J132))</f>
        <v/>
      </c>
      <c r="L132" s="23" t="n"/>
      <c r="M132" s="23" t="n"/>
      <c r="N132" s="23" t="n"/>
    </row>
    <row r="133">
      <c r="A133" s="23" t="n"/>
      <c r="B133" s="23" t="n"/>
      <c r="C133" s="24" t="n"/>
      <c r="D133" s="23" t="n"/>
      <c r="E133" s="23" t="n"/>
      <c r="F133" s="23" t="n"/>
      <c r="G133" s="23" t="n"/>
      <c r="H133" s="25" t="n"/>
      <c r="I133" s="26" t="n"/>
      <c r="J133" s="27">
        <f>IF(N(H133)=0,"",IF(M133="SI",0,ROUND(H133*I133,2)))</f>
        <v/>
      </c>
      <c r="K133" s="27">
        <f>IF(N(H133)=0,"",H133+N(J133))</f>
        <v/>
      </c>
      <c r="L133" s="23" t="n"/>
      <c r="M133" s="23" t="n"/>
      <c r="N133" s="23" t="n"/>
    </row>
    <row r="134">
      <c r="A134" s="23" t="n"/>
      <c r="B134" s="23" t="n"/>
      <c r="C134" s="24" t="n"/>
      <c r="D134" s="23" t="n"/>
      <c r="E134" s="23" t="n"/>
      <c r="F134" s="23" t="n"/>
      <c r="G134" s="23" t="n"/>
      <c r="H134" s="25" t="n"/>
      <c r="I134" s="26" t="n"/>
      <c r="J134" s="27">
        <f>IF(N(H134)=0,"",IF(M134="SI",0,ROUND(H134*I134,2)))</f>
        <v/>
      </c>
      <c r="K134" s="27">
        <f>IF(N(H134)=0,"",H134+N(J134))</f>
        <v/>
      </c>
      <c r="L134" s="23" t="n"/>
      <c r="M134" s="23" t="n"/>
      <c r="N134" s="23" t="n"/>
    </row>
    <row r="135">
      <c r="A135" s="23" t="n"/>
      <c r="B135" s="23" t="n"/>
      <c r="C135" s="24" t="n"/>
      <c r="D135" s="23" t="n"/>
      <c r="E135" s="23" t="n"/>
      <c r="F135" s="23" t="n"/>
      <c r="G135" s="23" t="n"/>
      <c r="H135" s="25" t="n"/>
      <c r="I135" s="26" t="n"/>
      <c r="J135" s="27">
        <f>IF(N(H135)=0,"",IF(M135="SI",0,ROUND(H135*I135,2)))</f>
        <v/>
      </c>
      <c r="K135" s="27">
        <f>IF(N(H135)=0,"",H135+N(J135))</f>
        <v/>
      </c>
      <c r="L135" s="23" t="n"/>
      <c r="M135" s="23" t="n"/>
      <c r="N135" s="23" t="n"/>
    </row>
    <row r="136">
      <c r="A136" s="23" t="n"/>
      <c r="B136" s="23" t="n"/>
      <c r="C136" s="24" t="n"/>
      <c r="D136" s="23" t="n"/>
      <c r="E136" s="23" t="n"/>
      <c r="F136" s="23" t="n"/>
      <c r="G136" s="23" t="n"/>
      <c r="H136" s="25" t="n"/>
      <c r="I136" s="26" t="n"/>
      <c r="J136" s="27">
        <f>IF(N(H136)=0,"",IF(M136="SI",0,ROUND(H136*I136,2)))</f>
        <v/>
      </c>
      <c r="K136" s="27">
        <f>IF(N(H136)=0,"",H136+N(J136))</f>
        <v/>
      </c>
      <c r="L136" s="23" t="n"/>
      <c r="M136" s="23" t="n"/>
      <c r="N136" s="23" t="n"/>
    </row>
    <row r="137">
      <c r="A137" s="23" t="n"/>
      <c r="B137" s="23" t="n"/>
      <c r="C137" s="24" t="n"/>
      <c r="D137" s="23" t="n"/>
      <c r="E137" s="23" t="n"/>
      <c r="F137" s="23" t="n"/>
      <c r="G137" s="23" t="n"/>
      <c r="H137" s="25" t="n"/>
      <c r="I137" s="26" t="n"/>
      <c r="J137" s="27">
        <f>IF(N(H137)=0,"",IF(M137="SI",0,ROUND(H137*I137,2)))</f>
        <v/>
      </c>
      <c r="K137" s="27">
        <f>IF(N(H137)=0,"",H137+N(J137))</f>
        <v/>
      </c>
      <c r="L137" s="23" t="n"/>
      <c r="M137" s="23" t="n"/>
      <c r="N137" s="23" t="n"/>
    </row>
    <row r="138">
      <c r="A138" s="23" t="n"/>
      <c r="B138" s="23" t="n"/>
      <c r="C138" s="24" t="n"/>
      <c r="D138" s="23" t="n"/>
      <c r="E138" s="23" t="n"/>
      <c r="F138" s="23" t="n"/>
      <c r="G138" s="23" t="n"/>
      <c r="H138" s="25" t="n"/>
      <c r="I138" s="26" t="n"/>
      <c r="J138" s="27">
        <f>IF(N(H138)=0,"",IF(M138="SI",0,ROUND(H138*I138,2)))</f>
        <v/>
      </c>
      <c r="K138" s="27">
        <f>IF(N(H138)=0,"",H138+N(J138))</f>
        <v/>
      </c>
      <c r="L138" s="23" t="n"/>
      <c r="M138" s="23" t="n"/>
      <c r="N138" s="23" t="n"/>
    </row>
    <row r="139">
      <c r="A139" s="23" t="n"/>
      <c r="B139" s="23" t="n"/>
      <c r="C139" s="24" t="n"/>
      <c r="D139" s="23" t="n"/>
      <c r="E139" s="23" t="n"/>
      <c r="F139" s="23" t="n"/>
      <c r="G139" s="23" t="n"/>
      <c r="H139" s="25" t="n"/>
      <c r="I139" s="26" t="n"/>
      <c r="J139" s="27">
        <f>IF(N(H139)=0,"",IF(M139="SI",0,ROUND(H139*I139,2)))</f>
        <v/>
      </c>
      <c r="K139" s="27">
        <f>IF(N(H139)=0,"",H139+N(J139))</f>
        <v/>
      </c>
      <c r="L139" s="23" t="n"/>
      <c r="M139" s="23" t="n"/>
      <c r="N139" s="23" t="n"/>
    </row>
    <row r="140">
      <c r="A140" s="23" t="n"/>
      <c r="B140" s="23" t="n"/>
      <c r="C140" s="24" t="n"/>
      <c r="D140" s="23" t="n"/>
      <c r="E140" s="23" t="n"/>
      <c r="F140" s="23" t="n"/>
      <c r="G140" s="23" t="n"/>
      <c r="H140" s="25" t="n"/>
      <c r="I140" s="26" t="n"/>
      <c r="J140" s="27">
        <f>IF(N(H140)=0,"",IF(M140="SI",0,ROUND(H140*I140,2)))</f>
        <v/>
      </c>
      <c r="K140" s="27">
        <f>IF(N(H140)=0,"",H140+N(J140))</f>
        <v/>
      </c>
      <c r="L140" s="23" t="n"/>
      <c r="M140" s="23" t="n"/>
      <c r="N140" s="23" t="n"/>
    </row>
    <row r="141">
      <c r="A141" s="23" t="n"/>
      <c r="B141" s="23" t="n"/>
      <c r="C141" s="24" t="n"/>
      <c r="D141" s="23" t="n"/>
      <c r="E141" s="23" t="n"/>
      <c r="F141" s="23" t="n"/>
      <c r="G141" s="23" t="n"/>
      <c r="H141" s="25" t="n"/>
      <c r="I141" s="26" t="n"/>
      <c r="J141" s="27">
        <f>IF(N(H141)=0,"",IF(M141="SI",0,ROUND(H141*I141,2)))</f>
        <v/>
      </c>
      <c r="K141" s="27">
        <f>IF(N(H141)=0,"",H141+N(J141))</f>
        <v/>
      </c>
      <c r="L141" s="23" t="n"/>
      <c r="M141" s="23" t="n"/>
      <c r="N141" s="23" t="n"/>
    </row>
    <row r="142">
      <c r="A142" s="23" t="n"/>
      <c r="B142" s="23" t="n"/>
      <c r="C142" s="24" t="n"/>
      <c r="D142" s="23" t="n"/>
      <c r="E142" s="23" t="n"/>
      <c r="F142" s="23" t="n"/>
      <c r="G142" s="23" t="n"/>
      <c r="H142" s="25" t="n"/>
      <c r="I142" s="26" t="n"/>
      <c r="J142" s="27">
        <f>IF(N(H142)=0,"",IF(M142="SI",0,ROUND(H142*I142,2)))</f>
        <v/>
      </c>
      <c r="K142" s="27">
        <f>IF(N(H142)=0,"",H142+N(J142))</f>
        <v/>
      </c>
      <c r="L142" s="23" t="n"/>
      <c r="M142" s="23" t="n"/>
      <c r="N142" s="23" t="n"/>
    </row>
    <row r="143">
      <c r="A143" s="23" t="n"/>
      <c r="B143" s="23" t="n"/>
      <c r="C143" s="24" t="n"/>
      <c r="D143" s="23" t="n"/>
      <c r="E143" s="23" t="n"/>
      <c r="F143" s="23" t="n"/>
      <c r="G143" s="23" t="n"/>
      <c r="H143" s="25" t="n"/>
      <c r="I143" s="26" t="n"/>
      <c r="J143" s="27">
        <f>IF(N(H143)=0,"",IF(M143="SI",0,ROUND(H143*I143,2)))</f>
        <v/>
      </c>
      <c r="K143" s="27">
        <f>IF(N(H143)=0,"",H143+N(J143))</f>
        <v/>
      </c>
      <c r="L143" s="23" t="n"/>
      <c r="M143" s="23" t="n"/>
      <c r="N143" s="23" t="n"/>
    </row>
    <row r="144">
      <c r="A144" s="23" t="n"/>
      <c r="B144" s="23" t="n"/>
      <c r="C144" s="24" t="n"/>
      <c r="D144" s="23" t="n"/>
      <c r="E144" s="23" t="n"/>
      <c r="F144" s="23" t="n"/>
      <c r="G144" s="23" t="n"/>
      <c r="H144" s="25" t="n"/>
      <c r="I144" s="26" t="n"/>
      <c r="J144" s="27">
        <f>IF(N(H144)=0,"",IF(M144="SI",0,ROUND(H144*I144,2)))</f>
        <v/>
      </c>
      <c r="K144" s="27">
        <f>IF(N(H144)=0,"",H144+N(J144))</f>
        <v/>
      </c>
      <c r="L144" s="23" t="n"/>
      <c r="M144" s="23" t="n"/>
      <c r="N144" s="23" t="n"/>
    </row>
    <row r="145">
      <c r="A145" s="23" t="n"/>
      <c r="B145" s="23" t="n"/>
      <c r="C145" s="24" t="n"/>
      <c r="D145" s="23" t="n"/>
      <c r="E145" s="23" t="n"/>
      <c r="F145" s="23" t="n"/>
      <c r="G145" s="23" t="n"/>
      <c r="H145" s="25" t="n"/>
      <c r="I145" s="26" t="n"/>
      <c r="J145" s="27">
        <f>IF(N(H145)=0,"",IF(M145="SI",0,ROUND(H145*I145,2)))</f>
        <v/>
      </c>
      <c r="K145" s="27">
        <f>IF(N(H145)=0,"",H145+N(J145))</f>
        <v/>
      </c>
      <c r="L145" s="23" t="n"/>
      <c r="M145" s="23" t="n"/>
      <c r="N145" s="23" t="n"/>
    </row>
    <row r="146">
      <c r="A146" s="23" t="n"/>
      <c r="B146" s="23" t="n"/>
      <c r="C146" s="24" t="n"/>
      <c r="D146" s="23" t="n"/>
      <c r="E146" s="23" t="n"/>
      <c r="F146" s="23" t="n"/>
      <c r="G146" s="23" t="n"/>
      <c r="H146" s="25" t="n"/>
      <c r="I146" s="26" t="n"/>
      <c r="J146" s="27">
        <f>IF(N(H146)=0,"",IF(M146="SI",0,ROUND(H146*I146,2)))</f>
        <v/>
      </c>
      <c r="K146" s="27">
        <f>IF(N(H146)=0,"",H146+N(J146))</f>
        <v/>
      </c>
      <c r="L146" s="23" t="n"/>
      <c r="M146" s="23" t="n"/>
      <c r="N146" s="23" t="n"/>
    </row>
    <row r="147">
      <c r="A147" s="23" t="n"/>
      <c r="B147" s="23" t="n"/>
      <c r="C147" s="24" t="n"/>
      <c r="D147" s="23" t="n"/>
      <c r="E147" s="23" t="n"/>
      <c r="F147" s="23" t="n"/>
      <c r="G147" s="23" t="n"/>
      <c r="H147" s="25" t="n"/>
      <c r="I147" s="26" t="n"/>
      <c r="J147" s="27">
        <f>IF(N(H147)=0,"",IF(M147="SI",0,ROUND(H147*I147,2)))</f>
        <v/>
      </c>
      <c r="K147" s="27">
        <f>IF(N(H147)=0,"",H147+N(J147))</f>
        <v/>
      </c>
      <c r="L147" s="23" t="n"/>
      <c r="M147" s="23" t="n"/>
      <c r="N147" s="23" t="n"/>
    </row>
    <row r="148">
      <c r="A148" s="23" t="n"/>
      <c r="B148" s="23" t="n"/>
      <c r="C148" s="24" t="n"/>
      <c r="D148" s="23" t="n"/>
      <c r="E148" s="23" t="n"/>
      <c r="F148" s="23" t="n"/>
      <c r="G148" s="23" t="n"/>
      <c r="H148" s="25" t="n"/>
      <c r="I148" s="26" t="n"/>
      <c r="J148" s="27">
        <f>IF(N(H148)=0,"",IF(M148="SI",0,ROUND(H148*I148,2)))</f>
        <v/>
      </c>
      <c r="K148" s="27">
        <f>IF(N(H148)=0,"",H148+N(J148))</f>
        <v/>
      </c>
      <c r="L148" s="23" t="n"/>
      <c r="M148" s="23" t="n"/>
      <c r="N148" s="23" t="n"/>
    </row>
    <row r="149">
      <c r="A149" s="23" t="n"/>
      <c r="B149" s="23" t="n"/>
      <c r="C149" s="24" t="n"/>
      <c r="D149" s="23" t="n"/>
      <c r="E149" s="23" t="n"/>
      <c r="F149" s="23" t="n"/>
      <c r="G149" s="23" t="n"/>
      <c r="H149" s="25" t="n"/>
      <c r="I149" s="26" t="n"/>
      <c r="J149" s="27">
        <f>IF(N(H149)=0,"",IF(M149="SI",0,ROUND(H149*I149,2)))</f>
        <v/>
      </c>
      <c r="K149" s="27">
        <f>IF(N(H149)=0,"",H149+N(J149))</f>
        <v/>
      </c>
      <c r="L149" s="23" t="n"/>
      <c r="M149" s="23" t="n"/>
      <c r="N149" s="23" t="n"/>
    </row>
    <row r="150">
      <c r="A150" s="23" t="n"/>
      <c r="B150" s="23" t="n"/>
      <c r="C150" s="24" t="n"/>
      <c r="D150" s="23" t="n"/>
      <c r="E150" s="23" t="n"/>
      <c r="F150" s="23" t="n"/>
      <c r="G150" s="23" t="n"/>
      <c r="H150" s="25" t="n"/>
      <c r="I150" s="26" t="n"/>
      <c r="J150" s="27">
        <f>IF(N(H150)=0,"",IF(M150="SI",0,ROUND(H150*I150,2)))</f>
        <v/>
      </c>
      <c r="K150" s="27">
        <f>IF(N(H150)=0,"",H150+N(J150))</f>
        <v/>
      </c>
      <c r="L150" s="23" t="n"/>
      <c r="M150" s="23" t="n"/>
      <c r="N150" s="23" t="n"/>
    </row>
    <row r="151">
      <c r="A151" s="23" t="n"/>
      <c r="B151" s="23" t="n"/>
      <c r="C151" s="24" t="n"/>
      <c r="D151" s="23" t="n"/>
      <c r="E151" s="23" t="n"/>
      <c r="F151" s="23" t="n"/>
      <c r="G151" s="23" t="n"/>
      <c r="H151" s="25" t="n"/>
      <c r="I151" s="26" t="n"/>
      <c r="J151" s="27">
        <f>IF(N(H151)=0,"",IF(M151="SI",0,ROUND(H151*I151,2)))</f>
        <v/>
      </c>
      <c r="K151" s="27">
        <f>IF(N(H151)=0,"",H151+N(J151))</f>
        <v/>
      </c>
      <c r="L151" s="23" t="n"/>
      <c r="M151" s="23" t="n"/>
      <c r="N151" s="23" t="n"/>
    </row>
    <row r="152">
      <c r="A152" s="23" t="n"/>
      <c r="B152" s="23" t="n"/>
      <c r="C152" s="24" t="n"/>
      <c r="D152" s="23" t="n"/>
      <c r="E152" s="23" t="n"/>
      <c r="F152" s="23" t="n"/>
      <c r="G152" s="23" t="n"/>
      <c r="H152" s="25" t="n"/>
      <c r="I152" s="26" t="n"/>
      <c r="J152" s="27">
        <f>IF(N(H152)=0,"",IF(M152="SI",0,ROUND(H152*I152,2)))</f>
        <v/>
      </c>
      <c r="K152" s="27">
        <f>IF(N(H152)=0,"",H152+N(J152))</f>
        <v/>
      </c>
      <c r="L152" s="23" t="n"/>
      <c r="M152" s="23" t="n"/>
      <c r="N152" s="23" t="n"/>
    </row>
    <row r="153">
      <c r="A153" s="23" t="n"/>
      <c r="B153" s="23" t="n"/>
      <c r="C153" s="24" t="n"/>
      <c r="D153" s="23" t="n"/>
      <c r="E153" s="23" t="n"/>
      <c r="F153" s="23" t="n"/>
      <c r="G153" s="23" t="n"/>
      <c r="H153" s="25" t="n"/>
      <c r="I153" s="26" t="n"/>
      <c r="J153" s="27">
        <f>IF(N(H153)=0,"",IF(M153="SI",0,ROUND(H153*I153,2)))</f>
        <v/>
      </c>
      <c r="K153" s="27">
        <f>IF(N(H153)=0,"",H153+N(J153))</f>
        <v/>
      </c>
      <c r="L153" s="23" t="n"/>
      <c r="M153" s="23" t="n"/>
      <c r="N153" s="23" t="n"/>
    </row>
    <row r="154">
      <c r="A154" s="23" t="n"/>
      <c r="B154" s="23" t="n"/>
      <c r="C154" s="24" t="n"/>
      <c r="D154" s="23" t="n"/>
      <c r="E154" s="23" t="n"/>
      <c r="F154" s="23" t="n"/>
      <c r="G154" s="23" t="n"/>
      <c r="H154" s="25" t="n"/>
      <c r="I154" s="26" t="n"/>
      <c r="J154" s="27">
        <f>IF(N(H154)=0,"",IF(M154="SI",0,ROUND(H154*I154,2)))</f>
        <v/>
      </c>
      <c r="K154" s="27">
        <f>IF(N(H154)=0,"",H154+N(J154))</f>
        <v/>
      </c>
      <c r="L154" s="23" t="n"/>
      <c r="M154" s="23" t="n"/>
      <c r="N154" s="23" t="n"/>
    </row>
    <row r="155">
      <c r="A155" s="23" t="n"/>
      <c r="B155" s="23" t="n"/>
      <c r="C155" s="24" t="n"/>
      <c r="D155" s="23" t="n"/>
      <c r="E155" s="23" t="n"/>
      <c r="F155" s="23" t="n"/>
      <c r="G155" s="23" t="n"/>
      <c r="H155" s="25" t="n"/>
      <c r="I155" s="26" t="n"/>
      <c r="J155" s="27">
        <f>IF(N(H155)=0,"",IF(M155="SI",0,ROUND(H155*I155,2)))</f>
        <v/>
      </c>
      <c r="K155" s="27">
        <f>IF(N(H155)=0,"",H155+N(J155))</f>
        <v/>
      </c>
      <c r="L155" s="23" t="n"/>
      <c r="M155" s="23" t="n"/>
      <c r="N155" s="23" t="n"/>
    </row>
    <row r="156">
      <c r="A156" s="23" t="n"/>
      <c r="B156" s="23" t="n"/>
      <c r="C156" s="24" t="n"/>
      <c r="D156" s="23" t="n"/>
      <c r="E156" s="23" t="n"/>
      <c r="F156" s="23" t="n"/>
      <c r="G156" s="23" t="n"/>
      <c r="H156" s="25" t="n"/>
      <c r="I156" s="26" t="n"/>
      <c r="J156" s="27">
        <f>IF(N(H156)=0,"",IF(M156="SI",0,ROUND(H156*I156,2)))</f>
        <v/>
      </c>
      <c r="K156" s="27">
        <f>IF(N(H156)=0,"",H156+N(J156))</f>
        <v/>
      </c>
      <c r="L156" s="23" t="n"/>
      <c r="M156" s="23" t="n"/>
      <c r="N156" s="23" t="n"/>
    </row>
    <row r="157">
      <c r="A157" s="23" t="n"/>
      <c r="B157" s="23" t="n"/>
      <c r="C157" s="24" t="n"/>
      <c r="D157" s="23" t="n"/>
      <c r="E157" s="23" t="n"/>
      <c r="F157" s="23" t="n"/>
      <c r="G157" s="23" t="n"/>
      <c r="H157" s="25" t="n"/>
      <c r="I157" s="26" t="n"/>
      <c r="J157" s="27">
        <f>IF(N(H157)=0,"",IF(M157="SI",0,ROUND(H157*I157,2)))</f>
        <v/>
      </c>
      <c r="K157" s="27">
        <f>IF(N(H157)=0,"",H157+N(J157))</f>
        <v/>
      </c>
      <c r="L157" s="23" t="n"/>
      <c r="M157" s="23" t="n"/>
      <c r="N157" s="23" t="n"/>
    </row>
    <row r="158">
      <c r="A158" s="23" t="n"/>
      <c r="B158" s="23" t="n"/>
      <c r="C158" s="24" t="n"/>
      <c r="D158" s="23" t="n"/>
      <c r="E158" s="23" t="n"/>
      <c r="F158" s="23" t="n"/>
      <c r="G158" s="23" t="n"/>
      <c r="H158" s="25" t="n"/>
      <c r="I158" s="26" t="n"/>
      <c r="J158" s="27">
        <f>IF(N(H158)=0,"",IF(M158="SI",0,ROUND(H158*I158,2)))</f>
        <v/>
      </c>
      <c r="K158" s="27">
        <f>IF(N(H158)=0,"",H158+N(J158))</f>
        <v/>
      </c>
      <c r="L158" s="23" t="n"/>
      <c r="M158" s="23" t="n"/>
      <c r="N158" s="23" t="n"/>
    </row>
    <row r="159">
      <c r="A159" s="23" t="n"/>
      <c r="B159" s="23" t="n"/>
      <c r="C159" s="24" t="n"/>
      <c r="D159" s="23" t="n"/>
      <c r="E159" s="23" t="n"/>
      <c r="F159" s="23" t="n"/>
      <c r="G159" s="23" t="n"/>
      <c r="H159" s="25" t="n"/>
      <c r="I159" s="26" t="n"/>
      <c r="J159" s="27">
        <f>IF(N(H159)=0,"",IF(M159="SI",0,ROUND(H159*I159,2)))</f>
        <v/>
      </c>
      <c r="K159" s="27">
        <f>IF(N(H159)=0,"",H159+N(J159))</f>
        <v/>
      </c>
      <c r="L159" s="23" t="n"/>
      <c r="M159" s="23" t="n"/>
      <c r="N159" s="23" t="n"/>
    </row>
    <row r="160">
      <c r="A160" s="23" t="n"/>
      <c r="B160" s="23" t="n"/>
      <c r="C160" s="24" t="n"/>
      <c r="D160" s="23" t="n"/>
      <c r="E160" s="23" t="n"/>
      <c r="F160" s="23" t="n"/>
      <c r="G160" s="23" t="n"/>
      <c r="H160" s="25" t="n"/>
      <c r="I160" s="26" t="n"/>
      <c r="J160" s="27">
        <f>IF(N(H160)=0,"",IF(M160="SI",0,ROUND(H160*I160,2)))</f>
        <v/>
      </c>
      <c r="K160" s="27">
        <f>IF(N(H160)=0,"",H160+N(J160))</f>
        <v/>
      </c>
      <c r="L160" s="23" t="n"/>
      <c r="M160" s="23" t="n"/>
      <c r="N160" s="23" t="n"/>
    </row>
    <row r="161">
      <c r="A161" s="23" t="n"/>
      <c r="B161" s="23" t="n"/>
      <c r="C161" s="24" t="n"/>
      <c r="D161" s="23" t="n"/>
      <c r="E161" s="23" t="n"/>
      <c r="F161" s="23" t="n"/>
      <c r="G161" s="23" t="n"/>
      <c r="H161" s="25" t="n"/>
      <c r="I161" s="26" t="n"/>
      <c r="J161" s="27">
        <f>IF(N(H161)=0,"",IF(M161="SI",0,ROUND(H161*I161,2)))</f>
        <v/>
      </c>
      <c r="K161" s="27">
        <f>IF(N(H161)=0,"",H161+N(J161))</f>
        <v/>
      </c>
      <c r="L161" s="23" t="n"/>
      <c r="M161" s="23" t="n"/>
      <c r="N161" s="23" t="n"/>
    </row>
    <row r="162">
      <c r="A162" s="23" t="n"/>
      <c r="B162" s="23" t="n"/>
      <c r="C162" s="24" t="n"/>
      <c r="D162" s="23" t="n"/>
      <c r="E162" s="23" t="n"/>
      <c r="F162" s="23" t="n"/>
      <c r="G162" s="23" t="n"/>
      <c r="H162" s="25" t="n"/>
      <c r="I162" s="26" t="n"/>
      <c r="J162" s="27">
        <f>IF(N(H162)=0,"",IF(M162="SI",0,ROUND(H162*I162,2)))</f>
        <v/>
      </c>
      <c r="K162" s="27">
        <f>IF(N(H162)=0,"",H162+N(J162))</f>
        <v/>
      </c>
      <c r="L162" s="23" t="n"/>
      <c r="M162" s="23" t="n"/>
      <c r="N162" s="23" t="n"/>
    </row>
    <row r="163">
      <c r="A163" s="23" t="n"/>
      <c r="B163" s="23" t="n"/>
      <c r="C163" s="24" t="n"/>
      <c r="D163" s="23" t="n"/>
      <c r="E163" s="23" t="n"/>
      <c r="F163" s="23" t="n"/>
      <c r="G163" s="23" t="n"/>
      <c r="H163" s="25" t="n"/>
      <c r="I163" s="26" t="n"/>
      <c r="J163" s="27">
        <f>IF(N(H163)=0,"",IF(M163="SI",0,ROUND(H163*I163,2)))</f>
        <v/>
      </c>
      <c r="K163" s="27">
        <f>IF(N(H163)=0,"",H163+N(J163))</f>
        <v/>
      </c>
      <c r="L163" s="23" t="n"/>
      <c r="M163" s="23" t="n"/>
      <c r="N163" s="23" t="n"/>
    </row>
    <row r="164">
      <c r="A164" s="23" t="n"/>
      <c r="B164" s="23" t="n"/>
      <c r="C164" s="24" t="n"/>
      <c r="D164" s="23" t="n"/>
      <c r="E164" s="23" t="n"/>
      <c r="F164" s="23" t="n"/>
      <c r="G164" s="23" t="n"/>
      <c r="H164" s="25" t="n"/>
      <c r="I164" s="26" t="n"/>
      <c r="J164" s="27">
        <f>IF(N(H164)=0,"",IF(M164="SI",0,ROUND(H164*I164,2)))</f>
        <v/>
      </c>
      <c r="K164" s="27">
        <f>IF(N(H164)=0,"",H164+N(J164))</f>
        <v/>
      </c>
      <c r="L164" s="23" t="n"/>
      <c r="M164" s="23" t="n"/>
      <c r="N164" s="23" t="n"/>
    </row>
    <row r="165">
      <c r="A165" s="23" t="n"/>
      <c r="B165" s="23" t="n"/>
      <c r="C165" s="24" t="n"/>
      <c r="D165" s="23" t="n"/>
      <c r="E165" s="23" t="n"/>
      <c r="F165" s="23" t="n"/>
      <c r="G165" s="23" t="n"/>
      <c r="H165" s="25" t="n"/>
      <c r="I165" s="26" t="n"/>
      <c r="J165" s="27">
        <f>IF(N(H165)=0,"",IF(M165="SI",0,ROUND(H165*I165,2)))</f>
        <v/>
      </c>
      <c r="K165" s="27">
        <f>IF(N(H165)=0,"",H165+N(J165))</f>
        <v/>
      </c>
      <c r="L165" s="23" t="n"/>
      <c r="M165" s="23" t="n"/>
      <c r="N165" s="23" t="n"/>
    </row>
    <row r="166">
      <c r="A166" s="23" t="n"/>
      <c r="B166" s="23" t="n"/>
      <c r="C166" s="24" t="n"/>
      <c r="D166" s="23" t="n"/>
      <c r="E166" s="23" t="n"/>
      <c r="F166" s="23" t="n"/>
      <c r="G166" s="23" t="n"/>
      <c r="H166" s="25" t="n"/>
      <c r="I166" s="26" t="n"/>
      <c r="J166" s="27">
        <f>IF(N(H166)=0,"",IF(M166="SI",0,ROUND(H166*I166,2)))</f>
        <v/>
      </c>
      <c r="K166" s="27">
        <f>IF(N(H166)=0,"",H166+N(J166))</f>
        <v/>
      </c>
      <c r="L166" s="23" t="n"/>
      <c r="M166" s="23" t="n"/>
      <c r="N166" s="23" t="n"/>
    </row>
    <row r="167">
      <c r="A167" s="23" t="n"/>
      <c r="B167" s="23" t="n"/>
      <c r="C167" s="24" t="n"/>
      <c r="D167" s="23" t="n"/>
      <c r="E167" s="23" t="n"/>
      <c r="F167" s="23" t="n"/>
      <c r="G167" s="23" t="n"/>
      <c r="H167" s="25" t="n"/>
      <c r="I167" s="26" t="n"/>
      <c r="J167" s="27">
        <f>IF(N(H167)=0,"",IF(M167="SI",0,ROUND(H167*I167,2)))</f>
        <v/>
      </c>
      <c r="K167" s="27">
        <f>IF(N(H167)=0,"",H167+N(J167))</f>
        <v/>
      </c>
      <c r="L167" s="23" t="n"/>
      <c r="M167" s="23" t="n"/>
      <c r="N167" s="23" t="n"/>
    </row>
    <row r="168">
      <c r="A168" s="23" t="n"/>
      <c r="B168" s="23" t="n"/>
      <c r="C168" s="24" t="n"/>
      <c r="D168" s="23" t="n"/>
      <c r="E168" s="23" t="n"/>
      <c r="F168" s="23" t="n"/>
      <c r="G168" s="23" t="n"/>
      <c r="H168" s="25" t="n"/>
      <c r="I168" s="26" t="n"/>
      <c r="J168" s="27">
        <f>IF(N(H168)=0,"",IF(M168="SI",0,ROUND(H168*I168,2)))</f>
        <v/>
      </c>
      <c r="K168" s="27">
        <f>IF(N(H168)=0,"",H168+N(J168))</f>
        <v/>
      </c>
      <c r="L168" s="23" t="n"/>
      <c r="M168" s="23" t="n"/>
      <c r="N168" s="23" t="n"/>
    </row>
    <row r="169">
      <c r="A169" s="23" t="n"/>
      <c r="B169" s="23" t="n"/>
      <c r="C169" s="24" t="n"/>
      <c r="D169" s="23" t="n"/>
      <c r="E169" s="23" t="n"/>
      <c r="F169" s="23" t="n"/>
      <c r="G169" s="23" t="n"/>
      <c r="H169" s="25" t="n"/>
      <c r="I169" s="26" t="n"/>
      <c r="J169" s="27">
        <f>IF(N(H169)=0,"",IF(M169="SI",0,ROUND(H169*I169,2)))</f>
        <v/>
      </c>
      <c r="K169" s="27">
        <f>IF(N(H169)=0,"",H169+N(J169))</f>
        <v/>
      </c>
      <c r="L169" s="23" t="n"/>
      <c r="M169" s="23" t="n"/>
      <c r="N169" s="23" t="n"/>
    </row>
    <row r="170">
      <c r="A170" s="23" t="n"/>
      <c r="B170" s="23" t="n"/>
      <c r="C170" s="24" t="n"/>
      <c r="D170" s="23" t="n"/>
      <c r="E170" s="23" t="n"/>
      <c r="F170" s="23" t="n"/>
      <c r="G170" s="23" t="n"/>
      <c r="H170" s="25" t="n"/>
      <c r="I170" s="26" t="n"/>
      <c r="J170" s="27">
        <f>IF(N(H170)=0,"",IF(M170="SI",0,ROUND(H170*I170,2)))</f>
        <v/>
      </c>
      <c r="K170" s="27">
        <f>IF(N(H170)=0,"",H170+N(J170))</f>
        <v/>
      </c>
      <c r="L170" s="23" t="n"/>
      <c r="M170" s="23" t="n"/>
      <c r="N170" s="23" t="n"/>
    </row>
    <row r="171">
      <c r="A171" s="23" t="n"/>
      <c r="B171" s="23" t="n"/>
      <c r="C171" s="24" t="n"/>
      <c r="D171" s="23" t="n"/>
      <c r="E171" s="23" t="n"/>
      <c r="F171" s="23" t="n"/>
      <c r="G171" s="23" t="n"/>
      <c r="H171" s="25" t="n"/>
      <c r="I171" s="26" t="n"/>
      <c r="J171" s="27">
        <f>IF(N(H171)=0,"",IF(M171="SI",0,ROUND(H171*I171,2)))</f>
        <v/>
      </c>
      <c r="K171" s="27">
        <f>IF(N(H171)=0,"",H171+N(J171))</f>
        <v/>
      </c>
      <c r="L171" s="23" t="n"/>
      <c r="M171" s="23" t="n"/>
      <c r="N171" s="23" t="n"/>
    </row>
    <row r="172">
      <c r="A172" s="23" t="n"/>
      <c r="B172" s="23" t="n"/>
      <c r="C172" s="24" t="n"/>
      <c r="D172" s="23" t="n"/>
      <c r="E172" s="23" t="n"/>
      <c r="F172" s="23" t="n"/>
      <c r="G172" s="23" t="n"/>
      <c r="H172" s="25" t="n"/>
      <c r="I172" s="26" t="n"/>
      <c r="J172" s="27">
        <f>IF(N(H172)=0,"",IF(M172="SI",0,ROUND(H172*I172,2)))</f>
        <v/>
      </c>
      <c r="K172" s="27">
        <f>IF(N(H172)=0,"",H172+N(J172))</f>
        <v/>
      </c>
      <c r="L172" s="23" t="n"/>
      <c r="M172" s="23" t="n"/>
      <c r="N172" s="23" t="n"/>
    </row>
    <row r="173">
      <c r="A173" s="23" t="n"/>
      <c r="B173" s="23" t="n"/>
      <c r="C173" s="24" t="n"/>
      <c r="D173" s="23" t="n"/>
      <c r="E173" s="23" t="n"/>
      <c r="F173" s="23" t="n"/>
      <c r="G173" s="23" t="n"/>
      <c r="H173" s="25" t="n"/>
      <c r="I173" s="26" t="n"/>
      <c r="J173" s="27">
        <f>IF(N(H173)=0,"",IF(M173="SI",0,ROUND(H173*I173,2)))</f>
        <v/>
      </c>
      <c r="K173" s="27">
        <f>IF(N(H173)=0,"",H173+N(J173))</f>
        <v/>
      </c>
      <c r="L173" s="23" t="n"/>
      <c r="M173" s="23" t="n"/>
      <c r="N173" s="23" t="n"/>
    </row>
    <row r="174">
      <c r="A174" s="23" t="n"/>
      <c r="B174" s="23" t="n"/>
      <c r="C174" s="24" t="n"/>
      <c r="D174" s="23" t="n"/>
      <c r="E174" s="23" t="n"/>
      <c r="F174" s="23" t="n"/>
      <c r="G174" s="23" t="n"/>
      <c r="H174" s="25" t="n"/>
      <c r="I174" s="26" t="n"/>
      <c r="J174" s="27">
        <f>IF(N(H174)=0,"",IF(M174="SI",0,ROUND(H174*I174,2)))</f>
        <v/>
      </c>
      <c r="K174" s="27">
        <f>IF(N(H174)=0,"",H174+N(J174))</f>
        <v/>
      </c>
      <c r="L174" s="23" t="n"/>
      <c r="M174" s="23" t="n"/>
      <c r="N174" s="23" t="n"/>
    </row>
    <row r="175">
      <c r="A175" s="23" t="n"/>
      <c r="B175" s="23" t="n"/>
      <c r="C175" s="24" t="n"/>
      <c r="D175" s="23" t="n"/>
      <c r="E175" s="23" t="n"/>
      <c r="F175" s="23" t="n"/>
      <c r="G175" s="23" t="n"/>
      <c r="H175" s="25" t="n"/>
      <c r="I175" s="26" t="n"/>
      <c r="J175" s="27">
        <f>IF(N(H175)=0,"",IF(M175="SI",0,ROUND(H175*I175,2)))</f>
        <v/>
      </c>
      <c r="K175" s="27">
        <f>IF(N(H175)=0,"",H175+N(J175))</f>
        <v/>
      </c>
      <c r="L175" s="23" t="n"/>
      <c r="M175" s="23" t="n"/>
      <c r="N175" s="23" t="n"/>
    </row>
    <row r="176">
      <c r="A176" s="23" t="n"/>
      <c r="B176" s="23" t="n"/>
      <c r="C176" s="24" t="n"/>
      <c r="D176" s="23" t="n"/>
      <c r="E176" s="23" t="n"/>
      <c r="F176" s="23" t="n"/>
      <c r="G176" s="23" t="n"/>
      <c r="H176" s="25" t="n"/>
      <c r="I176" s="26" t="n"/>
      <c r="J176" s="27">
        <f>IF(N(H176)=0,"",IF(M176="SI",0,ROUND(H176*I176,2)))</f>
        <v/>
      </c>
      <c r="K176" s="27">
        <f>IF(N(H176)=0,"",H176+N(J176))</f>
        <v/>
      </c>
      <c r="L176" s="23" t="n"/>
      <c r="M176" s="23" t="n"/>
      <c r="N176" s="23" t="n"/>
    </row>
    <row r="177">
      <c r="A177" s="23" t="n"/>
      <c r="B177" s="23" t="n"/>
      <c r="C177" s="24" t="n"/>
      <c r="D177" s="23" t="n"/>
      <c r="E177" s="23" t="n"/>
      <c r="F177" s="23" t="n"/>
      <c r="G177" s="23" t="n"/>
      <c r="H177" s="25" t="n"/>
      <c r="I177" s="26" t="n"/>
      <c r="J177" s="27">
        <f>IF(N(H177)=0,"",IF(M177="SI",0,ROUND(H177*I177,2)))</f>
        <v/>
      </c>
      <c r="K177" s="27">
        <f>IF(N(H177)=0,"",H177+N(J177))</f>
        <v/>
      </c>
      <c r="L177" s="23" t="n"/>
      <c r="M177" s="23" t="n"/>
      <c r="N177" s="23" t="n"/>
    </row>
    <row r="178">
      <c r="A178" s="23" t="n"/>
      <c r="B178" s="23" t="n"/>
      <c r="C178" s="24" t="n"/>
      <c r="D178" s="23" t="n"/>
      <c r="E178" s="23" t="n"/>
      <c r="F178" s="23" t="n"/>
      <c r="G178" s="23" t="n"/>
      <c r="H178" s="25" t="n"/>
      <c r="I178" s="26" t="n"/>
      <c r="J178" s="27">
        <f>IF(N(H178)=0,"",IF(M178="SI",0,ROUND(H178*I178,2)))</f>
        <v/>
      </c>
      <c r="K178" s="27">
        <f>IF(N(H178)=0,"",H178+N(J178))</f>
        <v/>
      </c>
      <c r="L178" s="23" t="n"/>
      <c r="M178" s="23" t="n"/>
      <c r="N178" s="23" t="n"/>
    </row>
    <row r="179">
      <c r="A179" s="23" t="n"/>
      <c r="B179" s="23" t="n"/>
      <c r="C179" s="24" t="n"/>
      <c r="D179" s="23" t="n"/>
      <c r="E179" s="23" t="n"/>
      <c r="F179" s="23" t="n"/>
      <c r="G179" s="23" t="n"/>
      <c r="H179" s="25" t="n"/>
      <c r="I179" s="26" t="n"/>
      <c r="J179" s="27">
        <f>IF(N(H179)=0,"",IF(M179="SI",0,ROUND(H179*I179,2)))</f>
        <v/>
      </c>
      <c r="K179" s="27">
        <f>IF(N(H179)=0,"",H179+N(J179))</f>
        <v/>
      </c>
      <c r="L179" s="23" t="n"/>
      <c r="M179" s="23" t="n"/>
      <c r="N179" s="23" t="n"/>
    </row>
    <row r="180">
      <c r="A180" s="23" t="n"/>
      <c r="B180" s="23" t="n"/>
      <c r="C180" s="24" t="n"/>
      <c r="D180" s="23" t="n"/>
      <c r="E180" s="23" t="n"/>
      <c r="F180" s="23" t="n"/>
      <c r="G180" s="23" t="n"/>
      <c r="H180" s="25" t="n"/>
      <c r="I180" s="26" t="n"/>
      <c r="J180" s="27">
        <f>IF(N(H180)=0,"",IF(M180="SI",0,ROUND(H180*I180,2)))</f>
        <v/>
      </c>
      <c r="K180" s="27">
        <f>IF(N(H180)=0,"",H180+N(J180))</f>
        <v/>
      </c>
      <c r="L180" s="23" t="n"/>
      <c r="M180" s="23" t="n"/>
      <c r="N180" s="23" t="n"/>
    </row>
    <row r="181">
      <c r="A181" s="23" t="n"/>
      <c r="B181" s="23" t="n"/>
      <c r="C181" s="24" t="n"/>
      <c r="D181" s="23" t="n"/>
      <c r="E181" s="23" t="n"/>
      <c r="F181" s="23" t="n"/>
      <c r="G181" s="23" t="n"/>
      <c r="H181" s="25" t="n"/>
      <c r="I181" s="26" t="n"/>
      <c r="J181" s="27">
        <f>IF(N(H181)=0,"",IF(M181="SI",0,ROUND(H181*I181,2)))</f>
        <v/>
      </c>
      <c r="K181" s="27">
        <f>IF(N(H181)=0,"",H181+N(J181))</f>
        <v/>
      </c>
      <c r="L181" s="23" t="n"/>
      <c r="M181" s="23" t="n"/>
      <c r="N181" s="23" t="n"/>
    </row>
    <row r="182">
      <c r="A182" s="23" t="n"/>
      <c r="B182" s="23" t="n"/>
      <c r="C182" s="24" t="n"/>
      <c r="D182" s="23" t="n"/>
      <c r="E182" s="23" t="n"/>
      <c r="F182" s="23" t="n"/>
      <c r="G182" s="23" t="n"/>
      <c r="H182" s="25" t="n"/>
      <c r="I182" s="26" t="n"/>
      <c r="J182" s="27">
        <f>IF(N(H182)=0,"",IF(M182="SI",0,ROUND(H182*I182,2)))</f>
        <v/>
      </c>
      <c r="K182" s="27">
        <f>IF(N(H182)=0,"",H182+N(J182))</f>
        <v/>
      </c>
      <c r="L182" s="23" t="n"/>
      <c r="M182" s="23" t="n"/>
      <c r="N182" s="23" t="n"/>
    </row>
    <row r="183">
      <c r="A183" s="23" t="n"/>
      <c r="B183" s="23" t="n"/>
      <c r="C183" s="24" t="n"/>
      <c r="D183" s="23" t="n"/>
      <c r="E183" s="23" t="n"/>
      <c r="F183" s="23" t="n"/>
      <c r="G183" s="23" t="n"/>
      <c r="H183" s="25" t="n"/>
      <c r="I183" s="26" t="n"/>
      <c r="J183" s="27">
        <f>IF(N(H183)=0,"",IF(M183="SI",0,ROUND(H183*I183,2)))</f>
        <v/>
      </c>
      <c r="K183" s="27">
        <f>IF(N(H183)=0,"",H183+N(J183))</f>
        <v/>
      </c>
      <c r="L183" s="23" t="n"/>
      <c r="M183" s="23" t="n"/>
      <c r="N183" s="23" t="n"/>
    </row>
    <row r="184">
      <c r="A184" s="23" t="n"/>
      <c r="B184" s="23" t="n"/>
      <c r="C184" s="24" t="n"/>
      <c r="D184" s="23" t="n"/>
      <c r="E184" s="23" t="n"/>
      <c r="F184" s="23" t="n"/>
      <c r="G184" s="23" t="n"/>
      <c r="H184" s="25" t="n"/>
      <c r="I184" s="26" t="n"/>
      <c r="J184" s="27">
        <f>IF(N(H184)=0,"",IF(M184="SI",0,ROUND(H184*I184,2)))</f>
        <v/>
      </c>
      <c r="K184" s="27">
        <f>IF(N(H184)=0,"",H184+N(J184))</f>
        <v/>
      </c>
      <c r="L184" s="23" t="n"/>
      <c r="M184" s="23" t="n"/>
      <c r="N184" s="23" t="n"/>
    </row>
    <row r="185">
      <c r="A185" s="23" t="n"/>
      <c r="B185" s="23" t="n"/>
      <c r="C185" s="24" t="n"/>
      <c r="D185" s="23" t="n"/>
      <c r="E185" s="23" t="n"/>
      <c r="F185" s="23" t="n"/>
      <c r="G185" s="23" t="n"/>
      <c r="H185" s="25" t="n"/>
      <c r="I185" s="26" t="n"/>
      <c r="J185" s="27">
        <f>IF(N(H185)=0,"",IF(M185="SI",0,ROUND(H185*I185,2)))</f>
        <v/>
      </c>
      <c r="K185" s="27">
        <f>IF(N(H185)=0,"",H185+N(J185))</f>
        <v/>
      </c>
      <c r="L185" s="23" t="n"/>
      <c r="M185" s="23" t="n"/>
      <c r="N185" s="23" t="n"/>
    </row>
    <row r="186">
      <c r="A186" s="23" t="n"/>
      <c r="B186" s="23" t="n"/>
      <c r="C186" s="24" t="n"/>
      <c r="D186" s="23" t="n"/>
      <c r="E186" s="23" t="n"/>
      <c r="F186" s="23" t="n"/>
      <c r="G186" s="23" t="n"/>
      <c r="H186" s="25" t="n"/>
      <c r="I186" s="26" t="n"/>
      <c r="J186" s="27">
        <f>IF(N(H186)=0,"",IF(M186="SI",0,ROUND(H186*I186,2)))</f>
        <v/>
      </c>
      <c r="K186" s="27">
        <f>IF(N(H186)=0,"",H186+N(J186))</f>
        <v/>
      </c>
      <c r="L186" s="23" t="n"/>
      <c r="M186" s="23" t="n"/>
      <c r="N186" s="23" t="n"/>
    </row>
    <row r="187">
      <c r="A187" s="23" t="n"/>
      <c r="B187" s="23" t="n"/>
      <c r="C187" s="24" t="n"/>
      <c r="D187" s="23" t="n"/>
      <c r="E187" s="23" t="n"/>
      <c r="F187" s="23" t="n"/>
      <c r="G187" s="23" t="n"/>
      <c r="H187" s="25" t="n"/>
      <c r="I187" s="26" t="n"/>
      <c r="J187" s="27">
        <f>IF(N(H187)=0,"",IF(M187="SI",0,ROUND(H187*I187,2)))</f>
        <v/>
      </c>
      <c r="K187" s="27">
        <f>IF(N(H187)=0,"",H187+N(J187))</f>
        <v/>
      </c>
      <c r="L187" s="23" t="n"/>
      <c r="M187" s="23" t="n"/>
      <c r="N187" s="23" t="n"/>
    </row>
    <row r="188">
      <c r="A188" s="23" t="n"/>
      <c r="B188" s="23" t="n"/>
      <c r="C188" s="24" t="n"/>
      <c r="D188" s="23" t="n"/>
      <c r="E188" s="23" t="n"/>
      <c r="F188" s="23" t="n"/>
      <c r="G188" s="23" t="n"/>
      <c r="H188" s="25" t="n"/>
      <c r="I188" s="26" t="n"/>
      <c r="J188" s="27">
        <f>IF(N(H188)=0,"",IF(M188="SI",0,ROUND(H188*I188,2)))</f>
        <v/>
      </c>
      <c r="K188" s="27">
        <f>IF(N(H188)=0,"",H188+N(J188))</f>
        <v/>
      </c>
      <c r="L188" s="23" t="n"/>
      <c r="M188" s="23" t="n"/>
      <c r="N188" s="23" t="n"/>
    </row>
    <row r="189">
      <c r="A189" s="23" t="n"/>
      <c r="B189" s="23" t="n"/>
      <c r="C189" s="24" t="n"/>
      <c r="D189" s="23" t="n"/>
      <c r="E189" s="23" t="n"/>
      <c r="F189" s="23" t="n"/>
      <c r="G189" s="23" t="n"/>
      <c r="H189" s="25" t="n"/>
      <c r="I189" s="26" t="n"/>
      <c r="J189" s="27">
        <f>IF(N(H189)=0,"",IF(M189="SI",0,ROUND(H189*I189,2)))</f>
        <v/>
      </c>
      <c r="K189" s="27">
        <f>IF(N(H189)=0,"",H189+N(J189))</f>
        <v/>
      </c>
      <c r="L189" s="23" t="n"/>
      <c r="M189" s="23" t="n"/>
      <c r="N189" s="23" t="n"/>
    </row>
    <row r="190">
      <c r="A190" s="23" t="n"/>
      <c r="B190" s="23" t="n"/>
      <c r="C190" s="24" t="n"/>
      <c r="D190" s="23" t="n"/>
      <c r="E190" s="23" t="n"/>
      <c r="F190" s="23" t="n"/>
      <c r="G190" s="23" t="n"/>
      <c r="H190" s="25" t="n"/>
      <c r="I190" s="26" t="n"/>
      <c r="J190" s="27">
        <f>IF(N(H190)=0,"",IF(M190="SI",0,ROUND(H190*I190,2)))</f>
        <v/>
      </c>
      <c r="K190" s="27">
        <f>IF(N(H190)=0,"",H190+N(J190))</f>
        <v/>
      </c>
      <c r="L190" s="23" t="n"/>
      <c r="M190" s="23" t="n"/>
      <c r="N190" s="23" t="n"/>
    </row>
    <row r="191">
      <c r="A191" s="23" t="n"/>
      <c r="B191" s="23" t="n"/>
      <c r="C191" s="24" t="n"/>
      <c r="D191" s="23" t="n"/>
      <c r="E191" s="23" t="n"/>
      <c r="F191" s="23" t="n"/>
      <c r="G191" s="23" t="n"/>
      <c r="H191" s="25" t="n"/>
      <c r="I191" s="26" t="n"/>
      <c r="J191" s="27">
        <f>IF(N(H191)=0,"",IF(M191="SI",0,ROUND(H191*I191,2)))</f>
        <v/>
      </c>
      <c r="K191" s="27">
        <f>IF(N(H191)=0,"",H191+N(J191))</f>
        <v/>
      </c>
      <c r="L191" s="23" t="n"/>
      <c r="M191" s="23" t="n"/>
      <c r="N191" s="23" t="n"/>
    </row>
    <row r="192">
      <c r="A192" s="23" t="n"/>
      <c r="B192" s="23" t="n"/>
      <c r="C192" s="24" t="n"/>
      <c r="D192" s="23" t="n"/>
      <c r="E192" s="23" t="n"/>
      <c r="F192" s="23" t="n"/>
      <c r="G192" s="23" t="n"/>
      <c r="H192" s="25" t="n"/>
      <c r="I192" s="26" t="n"/>
      <c r="J192" s="27">
        <f>IF(N(H192)=0,"",IF(M192="SI",0,ROUND(H192*I192,2)))</f>
        <v/>
      </c>
      <c r="K192" s="27">
        <f>IF(N(H192)=0,"",H192+N(J192))</f>
        <v/>
      </c>
      <c r="L192" s="23" t="n"/>
      <c r="M192" s="23" t="n"/>
      <c r="N192" s="23" t="n"/>
    </row>
    <row r="193">
      <c r="A193" s="23" t="n"/>
      <c r="B193" s="23" t="n"/>
      <c r="C193" s="24" t="n"/>
      <c r="D193" s="23" t="n"/>
      <c r="E193" s="23" t="n"/>
      <c r="F193" s="23" t="n"/>
      <c r="G193" s="23" t="n"/>
      <c r="H193" s="25" t="n"/>
      <c r="I193" s="26" t="n"/>
      <c r="J193" s="27">
        <f>IF(N(H193)=0,"",IF(M193="SI",0,ROUND(H193*I193,2)))</f>
        <v/>
      </c>
      <c r="K193" s="27">
        <f>IF(N(H193)=0,"",H193+N(J193))</f>
        <v/>
      </c>
      <c r="L193" s="23" t="n"/>
      <c r="M193" s="23" t="n"/>
      <c r="N193" s="23" t="n"/>
    </row>
    <row r="194">
      <c r="A194" s="23" t="n"/>
      <c r="B194" s="23" t="n"/>
      <c r="C194" s="24" t="n"/>
      <c r="D194" s="23" t="n"/>
      <c r="E194" s="23" t="n"/>
      <c r="F194" s="23" t="n"/>
      <c r="G194" s="23" t="n"/>
      <c r="H194" s="25" t="n"/>
      <c r="I194" s="26" t="n"/>
      <c r="J194" s="27">
        <f>IF(N(H194)=0,"",IF(M194="SI",0,ROUND(H194*I194,2)))</f>
        <v/>
      </c>
      <c r="K194" s="27">
        <f>IF(N(H194)=0,"",H194+N(J194))</f>
        <v/>
      </c>
      <c r="L194" s="23" t="n"/>
      <c r="M194" s="23" t="n"/>
      <c r="N194" s="23" t="n"/>
    </row>
    <row r="195">
      <c r="A195" s="23" t="n"/>
      <c r="B195" s="23" t="n"/>
      <c r="C195" s="24" t="n"/>
      <c r="D195" s="23" t="n"/>
      <c r="E195" s="23" t="n"/>
      <c r="F195" s="23" t="n"/>
      <c r="G195" s="23" t="n"/>
      <c r="H195" s="25" t="n"/>
      <c r="I195" s="26" t="n"/>
      <c r="J195" s="27">
        <f>IF(N(H195)=0,"",IF(M195="SI",0,ROUND(H195*I195,2)))</f>
        <v/>
      </c>
      <c r="K195" s="27">
        <f>IF(N(H195)=0,"",H195+N(J195))</f>
        <v/>
      </c>
      <c r="L195" s="23" t="n"/>
      <c r="M195" s="23" t="n"/>
      <c r="N195" s="23" t="n"/>
    </row>
    <row r="196">
      <c r="A196" s="23" t="n"/>
      <c r="B196" s="23" t="n"/>
      <c r="C196" s="24" t="n"/>
      <c r="D196" s="23" t="n"/>
      <c r="E196" s="23" t="n"/>
      <c r="F196" s="23" t="n"/>
      <c r="G196" s="23" t="n"/>
      <c r="H196" s="25" t="n"/>
      <c r="I196" s="26" t="n"/>
      <c r="J196" s="27">
        <f>IF(N(H196)=0,"",IF(M196="SI",0,ROUND(H196*I196,2)))</f>
        <v/>
      </c>
      <c r="K196" s="27">
        <f>IF(N(H196)=0,"",H196+N(J196))</f>
        <v/>
      </c>
      <c r="L196" s="23" t="n"/>
      <c r="M196" s="23" t="n"/>
      <c r="N196" s="23" t="n"/>
    </row>
    <row r="197">
      <c r="A197" s="23" t="n"/>
      <c r="B197" s="23" t="n"/>
      <c r="C197" s="24" t="n"/>
      <c r="D197" s="23" t="n"/>
      <c r="E197" s="23" t="n"/>
      <c r="F197" s="23" t="n"/>
      <c r="G197" s="23" t="n"/>
      <c r="H197" s="25" t="n"/>
      <c r="I197" s="26" t="n"/>
      <c r="J197" s="27">
        <f>IF(N(H197)=0,"",IF(M197="SI",0,ROUND(H197*I197,2)))</f>
        <v/>
      </c>
      <c r="K197" s="27">
        <f>IF(N(H197)=0,"",H197+N(J197))</f>
        <v/>
      </c>
      <c r="L197" s="23" t="n"/>
      <c r="M197" s="23" t="n"/>
      <c r="N197" s="23" t="n"/>
    </row>
    <row r="198">
      <c r="A198" s="23" t="n"/>
      <c r="B198" s="23" t="n"/>
      <c r="C198" s="24" t="n"/>
      <c r="D198" s="23" t="n"/>
      <c r="E198" s="23" t="n"/>
      <c r="F198" s="23" t="n"/>
      <c r="G198" s="23" t="n"/>
      <c r="H198" s="25" t="n"/>
      <c r="I198" s="26" t="n"/>
      <c r="J198" s="27">
        <f>IF(N(H198)=0,"",IF(M198="SI",0,ROUND(H198*I198,2)))</f>
        <v/>
      </c>
      <c r="K198" s="27">
        <f>IF(N(H198)=0,"",H198+N(J198))</f>
        <v/>
      </c>
      <c r="L198" s="23" t="n"/>
      <c r="M198" s="23" t="n"/>
      <c r="N198" s="23" t="n"/>
    </row>
    <row r="199">
      <c r="A199" s="23" t="n"/>
      <c r="B199" s="23" t="n"/>
      <c r="C199" s="24" t="n"/>
      <c r="D199" s="23" t="n"/>
      <c r="E199" s="23" t="n"/>
      <c r="F199" s="23" t="n"/>
      <c r="G199" s="23" t="n"/>
      <c r="H199" s="25" t="n"/>
      <c r="I199" s="26" t="n"/>
      <c r="J199" s="27">
        <f>IF(N(H199)=0,"",IF(M199="SI",0,ROUND(H199*I199,2)))</f>
        <v/>
      </c>
      <c r="K199" s="27">
        <f>IF(N(H199)=0,"",H199+N(J199))</f>
        <v/>
      </c>
      <c r="L199" s="23" t="n"/>
      <c r="M199" s="23" t="n"/>
      <c r="N199" s="23" t="n"/>
    </row>
    <row r="200">
      <c r="A200" s="23" t="n"/>
      <c r="B200" s="23" t="n"/>
      <c r="C200" s="24" t="n"/>
      <c r="D200" s="23" t="n"/>
      <c r="E200" s="23" t="n"/>
      <c r="F200" s="23" t="n"/>
      <c r="G200" s="23" t="n"/>
      <c r="H200" s="25" t="n"/>
      <c r="I200" s="26" t="n"/>
      <c r="J200" s="27">
        <f>IF(N(H200)=0,"",IF(M200="SI",0,ROUND(H200*I200,2)))</f>
        <v/>
      </c>
      <c r="K200" s="27">
        <f>IF(N(H200)=0,"",H200+N(J200))</f>
        <v/>
      </c>
      <c r="L200" s="23" t="n"/>
      <c r="M200" s="23" t="n"/>
      <c r="N200" s="23" t="n"/>
    </row>
    <row r="201">
      <c r="A201" s="23" t="n"/>
      <c r="B201" s="23" t="n"/>
      <c r="C201" s="24" t="n"/>
      <c r="D201" s="23" t="n"/>
      <c r="E201" s="23" t="n"/>
      <c r="F201" s="23" t="n"/>
      <c r="G201" s="23" t="n"/>
      <c r="H201" s="25" t="n"/>
      <c r="I201" s="26" t="n"/>
      <c r="J201" s="27">
        <f>IF(N(H201)=0,"",IF(M201="SI",0,ROUND(H201*I201,2)))</f>
        <v/>
      </c>
      <c r="K201" s="27">
        <f>IF(N(H201)=0,"",H201+N(J201))</f>
        <v/>
      </c>
      <c r="L201" s="23" t="n"/>
      <c r="M201" s="23" t="n"/>
      <c r="N201" s="23" t="n"/>
    </row>
    <row r="202">
      <c r="A202" s="23" t="n"/>
      <c r="B202" s="23" t="n"/>
      <c r="C202" s="24" t="n"/>
      <c r="D202" s="23" t="n"/>
      <c r="E202" s="23" t="n"/>
      <c r="F202" s="23" t="n"/>
      <c r="G202" s="23" t="n"/>
      <c r="H202" s="25" t="n"/>
      <c r="I202" s="26" t="n"/>
      <c r="J202" s="27">
        <f>IF(N(H202)=0,"",IF(M202="SI",0,ROUND(H202*I202,2)))</f>
        <v/>
      </c>
      <c r="K202" s="27">
        <f>IF(N(H202)=0,"",H202+N(J202))</f>
        <v/>
      </c>
      <c r="L202" s="23" t="n"/>
      <c r="M202" s="23" t="n"/>
      <c r="N202" s="23" t="n"/>
    </row>
    <row r="203">
      <c r="A203" s="23" t="n"/>
      <c r="B203" s="23" t="n"/>
      <c r="C203" s="24" t="n"/>
      <c r="D203" s="23" t="n"/>
      <c r="E203" s="23" t="n"/>
      <c r="F203" s="23" t="n"/>
      <c r="G203" s="23" t="n"/>
      <c r="H203" s="25" t="n"/>
      <c r="I203" s="26" t="n"/>
      <c r="J203" s="27">
        <f>IF(N(H203)=0,"",IF(M203="SI",0,ROUND(H203*I203,2)))</f>
        <v/>
      </c>
      <c r="K203" s="27">
        <f>IF(N(H203)=0,"",H203+N(J203))</f>
        <v/>
      </c>
      <c r="L203" s="23" t="n"/>
      <c r="M203" s="23" t="n"/>
      <c r="N203" s="23" t="n"/>
    </row>
    <row r="204">
      <c r="A204" s="23" t="n"/>
      <c r="B204" s="23" t="n"/>
      <c r="C204" s="24" t="n"/>
      <c r="D204" s="23" t="n"/>
      <c r="E204" s="23" t="n"/>
      <c r="F204" s="23" t="n"/>
      <c r="G204" s="23" t="n"/>
      <c r="H204" s="25" t="n"/>
      <c r="I204" s="26" t="n"/>
      <c r="J204" s="27">
        <f>IF(N(H204)=0,"",IF(M204="SI",0,ROUND(H204*I204,2)))</f>
        <v/>
      </c>
      <c r="K204" s="27">
        <f>IF(N(H204)=0,"",H204+N(J204))</f>
        <v/>
      </c>
      <c r="L204" s="23" t="n"/>
      <c r="M204" s="23" t="n"/>
      <c r="N204" s="23" t="n"/>
    </row>
    <row r="205">
      <c r="A205" s="23" t="n"/>
      <c r="B205" s="23" t="n"/>
      <c r="C205" s="24" t="n"/>
      <c r="D205" s="23" t="n"/>
      <c r="E205" s="23" t="n"/>
      <c r="F205" s="23" t="n"/>
      <c r="G205" s="23" t="n"/>
      <c r="H205" s="25" t="n"/>
      <c r="I205" s="26" t="n"/>
      <c r="J205" s="27">
        <f>IF(N(H205)=0,"",IF(M205="SI",0,ROUND(H205*I205,2)))</f>
        <v/>
      </c>
      <c r="K205" s="27">
        <f>IF(N(H205)=0,"",H205+N(J205))</f>
        <v/>
      </c>
      <c r="L205" s="23" t="n"/>
      <c r="M205" s="23" t="n"/>
      <c r="N205" s="23" t="n"/>
    </row>
    <row r="206">
      <c r="A206" s="23" t="n"/>
      <c r="B206" s="23" t="n"/>
      <c r="C206" s="24" t="n"/>
      <c r="D206" s="23" t="n"/>
      <c r="E206" s="23" t="n"/>
      <c r="F206" s="23" t="n"/>
      <c r="G206" s="23" t="n"/>
      <c r="H206" s="25" t="n"/>
      <c r="I206" s="26" t="n"/>
      <c r="J206" s="27">
        <f>IF(N(H206)=0,"",IF(M206="SI",0,ROUND(H206*I206,2)))</f>
        <v/>
      </c>
      <c r="K206" s="27">
        <f>IF(N(H206)=0,"",H206+N(J206))</f>
        <v/>
      </c>
      <c r="L206" s="23" t="n"/>
      <c r="M206" s="23" t="n"/>
      <c r="N206" s="23" t="n"/>
    </row>
    <row r="207">
      <c r="A207" s="23" t="n"/>
      <c r="B207" s="23" t="n"/>
      <c r="C207" s="24" t="n"/>
      <c r="D207" s="23" t="n"/>
      <c r="E207" s="23" t="n"/>
      <c r="F207" s="23" t="n"/>
      <c r="G207" s="23" t="n"/>
      <c r="H207" s="25" t="n"/>
      <c r="I207" s="26" t="n"/>
      <c r="J207" s="27">
        <f>IF(N(H207)=0,"",IF(M207="SI",0,ROUND(H207*I207,2)))</f>
        <v/>
      </c>
      <c r="K207" s="27">
        <f>IF(N(H207)=0,"",H207+N(J207))</f>
        <v/>
      </c>
      <c r="L207" s="23" t="n"/>
      <c r="M207" s="23" t="n"/>
      <c r="N207" s="23" t="n"/>
    </row>
    <row r="208">
      <c r="A208" s="23" t="n"/>
      <c r="B208" s="23" t="n"/>
      <c r="C208" s="24" t="n"/>
      <c r="D208" s="23" t="n"/>
      <c r="E208" s="23" t="n"/>
      <c r="F208" s="23" t="n"/>
      <c r="G208" s="23" t="n"/>
      <c r="H208" s="25" t="n"/>
      <c r="I208" s="26" t="n"/>
      <c r="J208" s="27">
        <f>IF(N(H208)=0,"",IF(M208="SI",0,ROUND(H208*I208,2)))</f>
        <v/>
      </c>
      <c r="K208" s="27">
        <f>IF(N(H208)=0,"",H208+N(J208))</f>
        <v/>
      </c>
      <c r="L208" s="23" t="n"/>
      <c r="M208" s="23" t="n"/>
      <c r="N208" s="23" t="n"/>
    </row>
    <row r="209">
      <c r="A209" s="23" t="n"/>
      <c r="B209" s="23" t="n"/>
      <c r="C209" s="24" t="n"/>
      <c r="D209" s="23" t="n"/>
      <c r="E209" s="23" t="n"/>
      <c r="F209" s="23" t="n"/>
      <c r="G209" s="23" t="n"/>
      <c r="H209" s="25" t="n"/>
      <c r="I209" s="26" t="n"/>
      <c r="J209" s="27">
        <f>IF(N(H209)=0,"",IF(M209="SI",0,ROUND(H209*I209,2)))</f>
        <v/>
      </c>
      <c r="K209" s="27">
        <f>IF(N(H209)=0,"",H209+N(J209))</f>
        <v/>
      </c>
      <c r="L209" s="23" t="n"/>
      <c r="M209" s="23" t="n"/>
      <c r="N209" s="23" t="n"/>
    </row>
    <row r="210">
      <c r="A210" s="23" t="n"/>
      <c r="B210" s="23" t="n"/>
      <c r="C210" s="24" t="n"/>
      <c r="D210" s="23" t="n"/>
      <c r="E210" s="23" t="n"/>
      <c r="F210" s="23" t="n"/>
      <c r="G210" s="23" t="n"/>
      <c r="H210" s="25" t="n"/>
      <c r="I210" s="26" t="n"/>
      <c r="J210" s="27">
        <f>IF(N(H210)=0,"",IF(M210="SI",0,ROUND(H210*I210,2)))</f>
        <v/>
      </c>
      <c r="K210" s="27">
        <f>IF(N(H210)=0,"",H210+N(J210))</f>
        <v/>
      </c>
      <c r="L210" s="23" t="n"/>
      <c r="M210" s="23" t="n"/>
      <c r="N210" s="23" t="n"/>
    </row>
    <row r="211">
      <c r="A211" s="23" t="n"/>
      <c r="B211" s="23" t="n"/>
      <c r="C211" s="24" t="n"/>
      <c r="D211" s="23" t="n"/>
      <c r="E211" s="23" t="n"/>
      <c r="F211" s="23" t="n"/>
      <c r="G211" s="23" t="n"/>
      <c r="H211" s="25" t="n"/>
      <c r="I211" s="26" t="n"/>
      <c r="J211" s="27">
        <f>IF(N(H211)=0,"",IF(M211="SI",0,ROUND(H211*I211,2)))</f>
        <v/>
      </c>
      <c r="K211" s="27">
        <f>IF(N(H211)=0,"",H211+N(J211))</f>
        <v/>
      </c>
      <c r="L211" s="23" t="n"/>
      <c r="M211" s="23" t="n"/>
      <c r="N211" s="23" t="n"/>
    </row>
    <row r="212">
      <c r="A212" s="23" t="n"/>
      <c r="B212" s="23" t="n"/>
      <c r="C212" s="24" t="n"/>
      <c r="D212" s="23" t="n"/>
      <c r="E212" s="23" t="n"/>
      <c r="F212" s="23" t="n"/>
      <c r="G212" s="23" t="n"/>
      <c r="H212" s="25" t="n"/>
      <c r="I212" s="26" t="n"/>
      <c r="J212" s="27">
        <f>IF(N(H212)=0,"",IF(M212="SI",0,ROUND(H212*I212,2)))</f>
        <v/>
      </c>
      <c r="K212" s="27">
        <f>IF(N(H212)=0,"",H212+N(J212))</f>
        <v/>
      </c>
      <c r="L212" s="23" t="n"/>
      <c r="M212" s="23" t="n"/>
      <c r="N212" s="23" t="n"/>
    </row>
    <row r="213">
      <c r="A213" s="23" t="n"/>
      <c r="B213" s="23" t="n"/>
      <c r="C213" s="24" t="n"/>
      <c r="D213" s="23" t="n"/>
      <c r="E213" s="23" t="n"/>
      <c r="F213" s="23" t="n"/>
      <c r="G213" s="23" t="n"/>
      <c r="H213" s="25" t="n"/>
      <c r="I213" s="26" t="n"/>
      <c r="J213" s="27">
        <f>IF(N(H213)=0,"",IF(M213="SI",0,ROUND(H213*I213,2)))</f>
        <v/>
      </c>
      <c r="K213" s="27">
        <f>IF(N(H213)=0,"",H213+N(J213))</f>
        <v/>
      </c>
      <c r="L213" s="23" t="n"/>
      <c r="M213" s="23" t="n"/>
      <c r="N213" s="23" t="n"/>
    </row>
    <row r="214">
      <c r="A214" s="23" t="n"/>
      <c r="B214" s="23" t="n"/>
      <c r="C214" s="24" t="n"/>
      <c r="D214" s="23" t="n"/>
      <c r="E214" s="23" t="n"/>
      <c r="F214" s="23" t="n"/>
      <c r="G214" s="23" t="n"/>
      <c r="H214" s="25" t="n"/>
      <c r="I214" s="26" t="n"/>
      <c r="J214" s="27">
        <f>IF(N(H214)=0,"",IF(M214="SI",0,ROUND(H214*I214,2)))</f>
        <v/>
      </c>
      <c r="K214" s="27">
        <f>IF(N(H214)=0,"",H214+N(J214))</f>
        <v/>
      </c>
      <c r="L214" s="23" t="n"/>
      <c r="M214" s="23" t="n"/>
      <c r="N214" s="23" t="n"/>
    </row>
    <row r="215">
      <c r="A215" s="23" t="n"/>
      <c r="B215" s="23" t="n"/>
      <c r="C215" s="24" t="n"/>
      <c r="D215" s="23" t="n"/>
      <c r="E215" s="23" t="n"/>
      <c r="F215" s="23" t="n"/>
      <c r="G215" s="23" t="n"/>
      <c r="H215" s="25" t="n"/>
      <c r="I215" s="26" t="n"/>
      <c r="J215" s="27">
        <f>IF(N(H215)=0,"",IF(M215="SI",0,ROUND(H215*I215,2)))</f>
        <v/>
      </c>
      <c r="K215" s="27">
        <f>IF(N(H215)=0,"",H215+N(J215))</f>
        <v/>
      </c>
      <c r="L215" s="23" t="n"/>
      <c r="M215" s="23" t="n"/>
      <c r="N215" s="23" t="n"/>
    </row>
    <row r="216">
      <c r="A216" s="23" t="n"/>
      <c r="B216" s="23" t="n"/>
      <c r="C216" s="24" t="n"/>
      <c r="D216" s="23" t="n"/>
      <c r="E216" s="23" t="n"/>
      <c r="F216" s="23" t="n"/>
      <c r="G216" s="23" t="n"/>
      <c r="H216" s="25" t="n"/>
      <c r="I216" s="26" t="n"/>
      <c r="J216" s="27">
        <f>IF(N(H216)=0,"",IF(M216="SI",0,ROUND(H216*I216,2)))</f>
        <v/>
      </c>
      <c r="K216" s="27">
        <f>IF(N(H216)=0,"",H216+N(J216))</f>
        <v/>
      </c>
      <c r="L216" s="23" t="n"/>
      <c r="M216" s="23" t="n"/>
      <c r="N216" s="23" t="n"/>
    </row>
    <row r="217">
      <c r="A217" s="23" t="n"/>
      <c r="B217" s="23" t="n"/>
      <c r="C217" s="24" t="n"/>
      <c r="D217" s="23" t="n"/>
      <c r="E217" s="23" t="n"/>
      <c r="F217" s="23" t="n"/>
      <c r="G217" s="23" t="n"/>
      <c r="H217" s="25" t="n"/>
      <c r="I217" s="26" t="n"/>
      <c r="J217" s="27">
        <f>IF(N(H217)=0,"",IF(M217="SI",0,ROUND(H217*I217,2)))</f>
        <v/>
      </c>
      <c r="K217" s="27">
        <f>IF(N(H217)=0,"",H217+N(J217))</f>
        <v/>
      </c>
      <c r="L217" s="23" t="n"/>
      <c r="M217" s="23" t="n"/>
      <c r="N217" s="23" t="n"/>
    </row>
    <row r="218">
      <c r="A218" s="23" t="n"/>
      <c r="B218" s="23" t="n"/>
      <c r="C218" s="24" t="n"/>
      <c r="D218" s="23" t="n"/>
      <c r="E218" s="23" t="n"/>
      <c r="F218" s="23" t="n"/>
      <c r="G218" s="23" t="n"/>
      <c r="H218" s="25" t="n"/>
      <c r="I218" s="26" t="n"/>
      <c r="J218" s="27">
        <f>IF(N(H218)=0,"",IF(M218="SI",0,ROUND(H218*I218,2)))</f>
        <v/>
      </c>
      <c r="K218" s="27">
        <f>IF(N(H218)=0,"",H218+N(J218))</f>
        <v/>
      </c>
      <c r="L218" s="23" t="n"/>
      <c r="M218" s="23" t="n"/>
      <c r="N218" s="23" t="n"/>
    </row>
    <row r="219">
      <c r="A219" s="23" t="n"/>
      <c r="B219" s="23" t="n"/>
      <c r="C219" s="24" t="n"/>
      <c r="D219" s="23" t="n"/>
      <c r="E219" s="23" t="n"/>
      <c r="F219" s="23" t="n"/>
      <c r="G219" s="23" t="n"/>
      <c r="H219" s="25" t="n"/>
      <c r="I219" s="26" t="n"/>
      <c r="J219" s="27">
        <f>IF(N(H219)=0,"",IF(M219="SI",0,ROUND(H219*I219,2)))</f>
        <v/>
      </c>
      <c r="K219" s="27">
        <f>IF(N(H219)=0,"",H219+N(J219))</f>
        <v/>
      </c>
      <c r="L219" s="23" t="n"/>
      <c r="M219" s="23" t="n"/>
      <c r="N219" s="23" t="n"/>
    </row>
    <row r="220">
      <c r="A220" s="23" t="n"/>
      <c r="B220" s="23" t="n"/>
      <c r="C220" s="24" t="n"/>
      <c r="D220" s="23" t="n"/>
      <c r="E220" s="23" t="n"/>
      <c r="F220" s="23" t="n"/>
      <c r="G220" s="23" t="n"/>
      <c r="H220" s="25" t="n"/>
      <c r="I220" s="26" t="n"/>
      <c r="J220" s="27">
        <f>IF(N(H220)=0,"",IF(M220="SI",0,ROUND(H220*I220,2)))</f>
        <v/>
      </c>
      <c r="K220" s="27">
        <f>IF(N(H220)=0,"",H220+N(J220))</f>
        <v/>
      </c>
      <c r="L220" s="23" t="n"/>
      <c r="M220" s="23" t="n"/>
      <c r="N220" s="23" t="n"/>
    </row>
    <row r="221">
      <c r="A221" s="23" t="n"/>
      <c r="B221" s="23" t="n"/>
      <c r="C221" s="24" t="n"/>
      <c r="D221" s="23" t="n"/>
      <c r="E221" s="23" t="n"/>
      <c r="F221" s="23" t="n"/>
      <c r="G221" s="23" t="n"/>
      <c r="H221" s="25" t="n"/>
      <c r="I221" s="26" t="n"/>
      <c r="J221" s="27">
        <f>IF(N(H221)=0,"",IF(M221="SI",0,ROUND(H221*I221,2)))</f>
        <v/>
      </c>
      <c r="K221" s="27">
        <f>IF(N(H221)=0,"",H221+N(J221))</f>
        <v/>
      </c>
      <c r="L221" s="23" t="n"/>
      <c r="M221" s="23" t="n"/>
      <c r="N221" s="23" t="n"/>
    </row>
    <row r="222">
      <c r="A222" s="23" t="n"/>
      <c r="B222" s="23" t="n"/>
      <c r="C222" s="24" t="n"/>
      <c r="D222" s="23" t="n"/>
      <c r="E222" s="23" t="n"/>
      <c r="F222" s="23" t="n"/>
      <c r="G222" s="23" t="n"/>
      <c r="H222" s="25" t="n"/>
      <c r="I222" s="26" t="n"/>
      <c r="J222" s="27">
        <f>IF(N(H222)=0,"",IF(M222="SI",0,ROUND(H222*I222,2)))</f>
        <v/>
      </c>
      <c r="K222" s="27">
        <f>IF(N(H222)=0,"",H222+N(J222))</f>
        <v/>
      </c>
      <c r="L222" s="23" t="n"/>
      <c r="M222" s="23" t="n"/>
      <c r="N222" s="23" t="n"/>
    </row>
    <row r="223">
      <c r="A223" s="23" t="n"/>
      <c r="B223" s="23" t="n"/>
      <c r="C223" s="24" t="n"/>
      <c r="D223" s="23" t="n"/>
      <c r="E223" s="23" t="n"/>
      <c r="F223" s="23" t="n"/>
      <c r="G223" s="23" t="n"/>
      <c r="H223" s="25" t="n"/>
      <c r="I223" s="26" t="n"/>
      <c r="J223" s="27">
        <f>IF(N(H223)=0,"",IF(M223="SI",0,ROUND(H223*I223,2)))</f>
        <v/>
      </c>
      <c r="K223" s="27">
        <f>IF(N(H223)=0,"",H223+N(J223))</f>
        <v/>
      </c>
      <c r="L223" s="23" t="n"/>
      <c r="M223" s="23" t="n"/>
      <c r="N223" s="23" t="n"/>
    </row>
    <row r="224">
      <c r="A224" s="23" t="n"/>
      <c r="B224" s="23" t="n"/>
      <c r="C224" s="24" t="n"/>
      <c r="D224" s="23" t="n"/>
      <c r="E224" s="23" t="n"/>
      <c r="F224" s="23" t="n"/>
      <c r="G224" s="23" t="n"/>
      <c r="H224" s="25" t="n"/>
      <c r="I224" s="26" t="n"/>
      <c r="J224" s="27">
        <f>IF(N(H224)=0,"",IF(M224="SI",0,ROUND(H224*I224,2)))</f>
        <v/>
      </c>
      <c r="K224" s="27">
        <f>IF(N(H224)=0,"",H224+N(J224))</f>
        <v/>
      </c>
      <c r="L224" s="23" t="n"/>
      <c r="M224" s="23" t="n"/>
      <c r="N224" s="23" t="n"/>
    </row>
    <row r="225">
      <c r="A225" s="23" t="n"/>
      <c r="B225" s="23" t="n"/>
      <c r="C225" s="24" t="n"/>
      <c r="D225" s="23" t="n"/>
      <c r="E225" s="23" t="n"/>
      <c r="F225" s="23" t="n"/>
      <c r="G225" s="23" t="n"/>
      <c r="H225" s="25" t="n"/>
      <c r="I225" s="26" t="n"/>
      <c r="J225" s="27">
        <f>IF(N(H225)=0,"",IF(M225="SI",0,ROUND(H225*I225,2)))</f>
        <v/>
      </c>
      <c r="K225" s="27">
        <f>IF(N(H225)=0,"",H225+N(J225))</f>
        <v/>
      </c>
      <c r="L225" s="23" t="n"/>
      <c r="M225" s="23" t="n"/>
      <c r="N225" s="23" t="n"/>
    </row>
    <row r="226">
      <c r="A226" s="23" t="n"/>
      <c r="B226" s="23" t="n"/>
      <c r="C226" s="24" t="n"/>
      <c r="D226" s="23" t="n"/>
      <c r="E226" s="23" t="n"/>
      <c r="F226" s="23" t="n"/>
      <c r="G226" s="23" t="n"/>
      <c r="H226" s="25" t="n"/>
      <c r="I226" s="26" t="n"/>
      <c r="J226" s="27">
        <f>IF(N(H226)=0,"",IF(M226="SI",0,ROUND(H226*I226,2)))</f>
        <v/>
      </c>
      <c r="K226" s="27">
        <f>IF(N(H226)=0,"",H226+N(J226))</f>
        <v/>
      </c>
      <c r="L226" s="23" t="n"/>
      <c r="M226" s="23" t="n"/>
      <c r="N226" s="23" t="n"/>
    </row>
    <row r="227">
      <c r="A227" s="23" t="n"/>
      <c r="B227" s="23" t="n"/>
      <c r="C227" s="24" t="n"/>
      <c r="D227" s="23" t="n"/>
      <c r="E227" s="23" t="n"/>
      <c r="F227" s="23" t="n"/>
      <c r="G227" s="23" t="n"/>
      <c r="H227" s="25" t="n"/>
      <c r="I227" s="26" t="n"/>
      <c r="J227" s="27">
        <f>IF(N(H227)=0,"",IF(M227="SI",0,ROUND(H227*I227,2)))</f>
        <v/>
      </c>
      <c r="K227" s="27">
        <f>IF(N(H227)=0,"",H227+N(J227))</f>
        <v/>
      </c>
      <c r="L227" s="23" t="n"/>
      <c r="M227" s="23" t="n"/>
      <c r="N227" s="23" t="n"/>
    </row>
    <row r="228">
      <c r="A228" s="23" t="n"/>
      <c r="B228" s="23" t="n"/>
      <c r="C228" s="24" t="n"/>
      <c r="D228" s="23" t="n"/>
      <c r="E228" s="23" t="n"/>
      <c r="F228" s="23" t="n"/>
      <c r="G228" s="23" t="n"/>
      <c r="H228" s="25" t="n"/>
      <c r="I228" s="26" t="n"/>
      <c r="J228" s="27">
        <f>IF(N(H228)=0,"",IF(M228="SI",0,ROUND(H228*I228,2)))</f>
        <v/>
      </c>
      <c r="K228" s="27">
        <f>IF(N(H228)=0,"",H228+N(J228))</f>
        <v/>
      </c>
      <c r="L228" s="23" t="n"/>
      <c r="M228" s="23" t="n"/>
      <c r="N228" s="23" t="n"/>
    </row>
    <row r="229">
      <c r="A229" s="23" t="n"/>
      <c r="B229" s="23" t="n"/>
      <c r="C229" s="24" t="n"/>
      <c r="D229" s="23" t="n"/>
      <c r="E229" s="23" t="n"/>
      <c r="F229" s="23" t="n"/>
      <c r="G229" s="23" t="n"/>
      <c r="H229" s="25" t="n"/>
      <c r="I229" s="26" t="n"/>
      <c r="J229" s="27">
        <f>IF(N(H229)=0,"",IF(M229="SI",0,ROUND(H229*I229,2)))</f>
        <v/>
      </c>
      <c r="K229" s="27">
        <f>IF(N(H229)=0,"",H229+N(J229))</f>
        <v/>
      </c>
      <c r="L229" s="23" t="n"/>
      <c r="M229" s="23" t="n"/>
      <c r="N229" s="23" t="n"/>
    </row>
    <row r="230">
      <c r="A230" s="23" t="n"/>
      <c r="B230" s="23" t="n"/>
      <c r="C230" s="24" t="n"/>
      <c r="D230" s="23" t="n"/>
      <c r="E230" s="23" t="n"/>
      <c r="F230" s="23" t="n"/>
      <c r="G230" s="23" t="n"/>
      <c r="H230" s="25" t="n"/>
      <c r="I230" s="26" t="n"/>
      <c r="J230" s="27">
        <f>IF(N(H230)=0,"",IF(M230="SI",0,ROUND(H230*I230,2)))</f>
        <v/>
      </c>
      <c r="K230" s="27">
        <f>IF(N(H230)=0,"",H230+N(J230))</f>
        <v/>
      </c>
      <c r="L230" s="23" t="n"/>
      <c r="M230" s="23" t="n"/>
      <c r="N230" s="23" t="n"/>
    </row>
    <row r="231">
      <c r="A231" s="23" t="n"/>
      <c r="B231" s="23" t="n"/>
      <c r="C231" s="24" t="n"/>
      <c r="D231" s="23" t="n"/>
      <c r="E231" s="23" t="n"/>
      <c r="F231" s="23" t="n"/>
      <c r="G231" s="23" t="n"/>
      <c r="H231" s="25" t="n"/>
      <c r="I231" s="26" t="n"/>
      <c r="J231" s="27">
        <f>IF(N(H231)=0,"",IF(M231="SI",0,ROUND(H231*I231,2)))</f>
        <v/>
      </c>
      <c r="K231" s="27">
        <f>IF(N(H231)=0,"",H231+N(J231))</f>
        <v/>
      </c>
      <c r="L231" s="23" t="n"/>
      <c r="M231" s="23" t="n"/>
      <c r="N231" s="23" t="n"/>
    </row>
    <row r="232">
      <c r="A232" s="23" t="n"/>
      <c r="B232" s="23" t="n"/>
      <c r="C232" s="24" t="n"/>
      <c r="D232" s="23" t="n"/>
      <c r="E232" s="23" t="n"/>
      <c r="F232" s="23" t="n"/>
      <c r="G232" s="23" t="n"/>
      <c r="H232" s="25" t="n"/>
      <c r="I232" s="26" t="n"/>
      <c r="J232" s="27">
        <f>IF(N(H232)=0,"",IF(M232="SI",0,ROUND(H232*I232,2)))</f>
        <v/>
      </c>
      <c r="K232" s="27">
        <f>IF(N(H232)=0,"",H232+N(J232))</f>
        <v/>
      </c>
      <c r="L232" s="23" t="n"/>
      <c r="M232" s="23" t="n"/>
      <c r="N232" s="23" t="n"/>
    </row>
    <row r="233">
      <c r="A233" s="23" t="n"/>
      <c r="B233" s="23" t="n"/>
      <c r="C233" s="24" t="n"/>
      <c r="D233" s="23" t="n"/>
      <c r="E233" s="23" t="n"/>
      <c r="F233" s="23" t="n"/>
      <c r="G233" s="23" t="n"/>
      <c r="H233" s="25" t="n"/>
      <c r="I233" s="26" t="n"/>
      <c r="J233" s="27">
        <f>IF(N(H233)=0,"",IF(M233="SI",0,ROUND(H233*I233,2)))</f>
        <v/>
      </c>
      <c r="K233" s="27">
        <f>IF(N(H233)=0,"",H233+N(J233))</f>
        <v/>
      </c>
      <c r="L233" s="23" t="n"/>
      <c r="M233" s="23" t="n"/>
      <c r="N233" s="23" t="n"/>
    </row>
    <row r="234">
      <c r="A234" s="23" t="n"/>
      <c r="B234" s="23" t="n"/>
      <c r="C234" s="24" t="n"/>
      <c r="D234" s="23" t="n"/>
      <c r="E234" s="23" t="n"/>
      <c r="F234" s="23" t="n"/>
      <c r="G234" s="23" t="n"/>
      <c r="H234" s="25" t="n"/>
      <c r="I234" s="26" t="n"/>
      <c r="J234" s="27">
        <f>IF(N(H234)=0,"",IF(M234="SI",0,ROUND(H234*I234,2)))</f>
        <v/>
      </c>
      <c r="K234" s="27">
        <f>IF(N(H234)=0,"",H234+N(J234))</f>
        <v/>
      </c>
      <c r="L234" s="23" t="n"/>
      <c r="M234" s="23" t="n"/>
      <c r="N234" s="23" t="n"/>
    </row>
    <row r="235">
      <c r="A235" s="23" t="n"/>
      <c r="B235" s="23" t="n"/>
      <c r="C235" s="24" t="n"/>
      <c r="D235" s="23" t="n"/>
      <c r="E235" s="23" t="n"/>
      <c r="F235" s="23" t="n"/>
      <c r="G235" s="23" t="n"/>
      <c r="H235" s="25" t="n"/>
      <c r="I235" s="26" t="n"/>
      <c r="J235" s="27">
        <f>IF(N(H235)=0,"",IF(M235="SI",0,ROUND(H235*I235,2)))</f>
        <v/>
      </c>
      <c r="K235" s="27">
        <f>IF(N(H235)=0,"",H235+N(J235))</f>
        <v/>
      </c>
      <c r="L235" s="23" t="n"/>
      <c r="M235" s="23" t="n"/>
      <c r="N235" s="23" t="n"/>
    </row>
    <row r="236">
      <c r="A236" s="23" t="n"/>
      <c r="B236" s="23" t="n"/>
      <c r="C236" s="24" t="n"/>
      <c r="D236" s="23" t="n"/>
      <c r="E236" s="23" t="n"/>
      <c r="F236" s="23" t="n"/>
      <c r="G236" s="23" t="n"/>
      <c r="H236" s="25" t="n"/>
      <c r="I236" s="26" t="n"/>
      <c r="J236" s="27">
        <f>IF(N(H236)=0,"",IF(M236="SI",0,ROUND(H236*I236,2)))</f>
        <v/>
      </c>
      <c r="K236" s="27">
        <f>IF(N(H236)=0,"",H236+N(J236))</f>
        <v/>
      </c>
      <c r="L236" s="23" t="n"/>
      <c r="M236" s="23" t="n"/>
      <c r="N236" s="23" t="n"/>
    </row>
    <row r="237">
      <c r="A237" s="23" t="n"/>
      <c r="B237" s="23" t="n"/>
      <c r="C237" s="24" t="n"/>
      <c r="D237" s="23" t="n"/>
      <c r="E237" s="23" t="n"/>
      <c r="F237" s="23" t="n"/>
      <c r="G237" s="23" t="n"/>
      <c r="H237" s="25" t="n"/>
      <c r="I237" s="26" t="n"/>
      <c r="J237" s="27">
        <f>IF(N(H237)=0,"",IF(M237="SI",0,ROUND(H237*I237,2)))</f>
        <v/>
      </c>
      <c r="K237" s="27">
        <f>IF(N(H237)=0,"",H237+N(J237))</f>
        <v/>
      </c>
      <c r="L237" s="23" t="n"/>
      <c r="M237" s="23" t="n"/>
      <c r="N237" s="23" t="n"/>
    </row>
    <row r="238">
      <c r="A238" s="23" t="n"/>
      <c r="B238" s="23" t="n"/>
      <c r="C238" s="24" t="n"/>
      <c r="D238" s="23" t="n"/>
      <c r="E238" s="23" t="n"/>
      <c r="F238" s="23" t="n"/>
      <c r="G238" s="23" t="n"/>
      <c r="H238" s="25" t="n"/>
      <c r="I238" s="26" t="n"/>
      <c r="J238" s="27">
        <f>IF(N(H238)=0,"",IF(M238="SI",0,ROUND(H238*I238,2)))</f>
        <v/>
      </c>
      <c r="K238" s="27">
        <f>IF(N(H238)=0,"",H238+N(J238))</f>
        <v/>
      </c>
      <c r="L238" s="23" t="n"/>
      <c r="M238" s="23" t="n"/>
      <c r="N238" s="23" t="n"/>
    </row>
    <row r="239">
      <c r="A239" s="23" t="n"/>
      <c r="B239" s="23" t="n"/>
      <c r="C239" s="24" t="n"/>
      <c r="D239" s="23" t="n"/>
      <c r="E239" s="23" t="n"/>
      <c r="F239" s="23" t="n"/>
      <c r="G239" s="23" t="n"/>
      <c r="H239" s="25" t="n"/>
      <c r="I239" s="26" t="n"/>
      <c r="J239" s="27">
        <f>IF(N(H239)=0,"",IF(M239="SI",0,ROUND(H239*I239,2)))</f>
        <v/>
      </c>
      <c r="K239" s="27">
        <f>IF(N(H239)=0,"",H239+N(J239))</f>
        <v/>
      </c>
      <c r="L239" s="23" t="n"/>
      <c r="M239" s="23" t="n"/>
      <c r="N239" s="23" t="n"/>
    </row>
    <row r="240">
      <c r="A240" s="23" t="n"/>
      <c r="B240" s="23" t="n"/>
      <c r="C240" s="24" t="n"/>
      <c r="D240" s="23" t="n"/>
      <c r="E240" s="23" t="n"/>
      <c r="F240" s="23" t="n"/>
      <c r="G240" s="23" t="n"/>
      <c r="H240" s="25" t="n"/>
      <c r="I240" s="26" t="n"/>
      <c r="J240" s="27">
        <f>IF(N(H240)=0,"",IF(M240="SI",0,ROUND(H240*I240,2)))</f>
        <v/>
      </c>
      <c r="K240" s="27">
        <f>IF(N(H240)=0,"",H240+N(J240))</f>
        <v/>
      </c>
      <c r="L240" s="23" t="n"/>
      <c r="M240" s="23" t="n"/>
      <c r="N240" s="23" t="n"/>
    </row>
    <row r="241">
      <c r="A241" s="23" t="n"/>
      <c r="B241" s="23" t="n"/>
      <c r="C241" s="24" t="n"/>
      <c r="D241" s="23" t="n"/>
      <c r="E241" s="23" t="n"/>
      <c r="F241" s="23" t="n"/>
      <c r="G241" s="23" t="n"/>
      <c r="H241" s="25" t="n"/>
      <c r="I241" s="26" t="n"/>
      <c r="J241" s="27">
        <f>IF(N(H241)=0,"",IF(M241="SI",0,ROUND(H241*I241,2)))</f>
        <v/>
      </c>
      <c r="K241" s="27">
        <f>IF(N(H241)=0,"",H241+N(J241))</f>
        <v/>
      </c>
      <c r="L241" s="23" t="n"/>
      <c r="M241" s="23" t="n"/>
      <c r="N241" s="23" t="n"/>
    </row>
    <row r="242">
      <c r="A242" s="23" t="n"/>
      <c r="B242" s="23" t="n"/>
      <c r="C242" s="24" t="n"/>
      <c r="D242" s="23" t="n"/>
      <c r="E242" s="23" t="n"/>
      <c r="F242" s="23" t="n"/>
      <c r="G242" s="23" t="n"/>
      <c r="H242" s="25" t="n"/>
      <c r="I242" s="26" t="n"/>
      <c r="J242" s="27">
        <f>IF(N(H242)=0,"",IF(M242="SI",0,ROUND(H242*I242,2)))</f>
        <v/>
      </c>
      <c r="K242" s="27">
        <f>IF(N(H242)=0,"",H242+N(J242))</f>
        <v/>
      </c>
      <c r="L242" s="23" t="n"/>
      <c r="M242" s="23" t="n"/>
      <c r="N242" s="23" t="n"/>
    </row>
    <row r="243">
      <c r="A243" s="23" t="n"/>
      <c r="B243" s="23" t="n"/>
      <c r="C243" s="24" t="n"/>
      <c r="D243" s="23" t="n"/>
      <c r="E243" s="23" t="n"/>
      <c r="F243" s="23" t="n"/>
      <c r="G243" s="23" t="n"/>
      <c r="H243" s="25" t="n"/>
      <c r="I243" s="26" t="n"/>
      <c r="J243" s="27">
        <f>IF(N(H243)=0,"",IF(M243="SI",0,ROUND(H243*I243,2)))</f>
        <v/>
      </c>
      <c r="K243" s="27">
        <f>IF(N(H243)=0,"",H243+N(J243))</f>
        <v/>
      </c>
      <c r="L243" s="23" t="n"/>
      <c r="M243" s="23" t="n"/>
      <c r="N243" s="23" t="n"/>
    </row>
    <row r="244">
      <c r="A244" s="23" t="n"/>
      <c r="B244" s="23" t="n"/>
      <c r="C244" s="24" t="n"/>
      <c r="D244" s="23" t="n"/>
      <c r="E244" s="23" t="n"/>
      <c r="F244" s="23" t="n"/>
      <c r="G244" s="23" t="n"/>
      <c r="H244" s="25" t="n"/>
      <c r="I244" s="26" t="n"/>
      <c r="J244" s="27">
        <f>IF(N(H244)=0,"",IF(M244="SI",0,ROUND(H244*I244,2)))</f>
        <v/>
      </c>
      <c r="K244" s="27">
        <f>IF(N(H244)=0,"",H244+N(J244))</f>
        <v/>
      </c>
      <c r="L244" s="23" t="n"/>
      <c r="M244" s="23" t="n"/>
      <c r="N244" s="23" t="n"/>
    </row>
    <row r="245">
      <c r="A245" s="23" t="n"/>
      <c r="B245" s="23" t="n"/>
      <c r="C245" s="24" t="n"/>
      <c r="D245" s="23" t="n"/>
      <c r="E245" s="23" t="n"/>
      <c r="F245" s="23" t="n"/>
      <c r="G245" s="23" t="n"/>
      <c r="H245" s="25" t="n"/>
      <c r="I245" s="26" t="n"/>
      <c r="J245" s="27">
        <f>IF(N(H245)=0,"",IF(M245="SI",0,ROUND(H245*I245,2)))</f>
        <v/>
      </c>
      <c r="K245" s="27">
        <f>IF(N(H245)=0,"",H245+N(J245))</f>
        <v/>
      </c>
      <c r="L245" s="23" t="n"/>
      <c r="M245" s="23" t="n"/>
      <c r="N245" s="23" t="n"/>
    </row>
    <row r="246">
      <c r="A246" s="23" t="n"/>
      <c r="B246" s="23" t="n"/>
      <c r="C246" s="24" t="n"/>
      <c r="D246" s="23" t="n"/>
      <c r="E246" s="23" t="n"/>
      <c r="F246" s="23" t="n"/>
      <c r="G246" s="23" t="n"/>
      <c r="H246" s="25" t="n"/>
      <c r="I246" s="26" t="n"/>
      <c r="J246" s="27">
        <f>IF(N(H246)=0,"",IF(M246="SI",0,ROUND(H246*I246,2)))</f>
        <v/>
      </c>
      <c r="K246" s="27">
        <f>IF(N(H246)=0,"",H246+N(J246))</f>
        <v/>
      </c>
      <c r="L246" s="23" t="n"/>
      <c r="M246" s="23" t="n"/>
      <c r="N246" s="23" t="n"/>
    </row>
    <row r="247">
      <c r="A247" s="23" t="n"/>
      <c r="B247" s="23" t="n"/>
      <c r="C247" s="24" t="n"/>
      <c r="D247" s="23" t="n"/>
      <c r="E247" s="23" t="n"/>
      <c r="F247" s="23" t="n"/>
      <c r="G247" s="23" t="n"/>
      <c r="H247" s="25" t="n"/>
      <c r="I247" s="26" t="n"/>
      <c r="J247" s="27">
        <f>IF(N(H247)=0,"",IF(M247="SI",0,ROUND(H247*I247,2)))</f>
        <v/>
      </c>
      <c r="K247" s="27">
        <f>IF(N(H247)=0,"",H247+N(J247))</f>
        <v/>
      </c>
      <c r="L247" s="23" t="n"/>
      <c r="M247" s="23" t="n"/>
      <c r="N247" s="23" t="n"/>
    </row>
    <row r="248">
      <c r="A248" s="23" t="n"/>
      <c r="B248" s="23" t="n"/>
      <c r="C248" s="24" t="n"/>
      <c r="D248" s="23" t="n"/>
      <c r="E248" s="23" t="n"/>
      <c r="F248" s="23" t="n"/>
      <c r="G248" s="23" t="n"/>
      <c r="H248" s="25" t="n"/>
      <c r="I248" s="26" t="n"/>
      <c r="J248" s="27">
        <f>IF(N(H248)=0,"",IF(M248="SI",0,ROUND(H248*I248,2)))</f>
        <v/>
      </c>
      <c r="K248" s="27">
        <f>IF(N(H248)=0,"",H248+N(J248))</f>
        <v/>
      </c>
      <c r="L248" s="23" t="n"/>
      <c r="M248" s="23" t="n"/>
      <c r="N248" s="23" t="n"/>
    </row>
    <row r="249">
      <c r="A249" s="23" t="n"/>
      <c r="B249" s="23" t="n"/>
      <c r="C249" s="24" t="n"/>
      <c r="D249" s="23" t="n"/>
      <c r="E249" s="23" t="n"/>
      <c r="F249" s="23" t="n"/>
      <c r="G249" s="23" t="n"/>
      <c r="H249" s="25" t="n"/>
      <c r="I249" s="26" t="n"/>
      <c r="J249" s="27">
        <f>IF(N(H249)=0,"",IF(M249="SI",0,ROUND(H249*I249,2)))</f>
        <v/>
      </c>
      <c r="K249" s="27">
        <f>IF(N(H249)=0,"",H249+N(J249))</f>
        <v/>
      </c>
      <c r="L249" s="23" t="n"/>
      <c r="M249" s="23" t="n"/>
      <c r="N249" s="23" t="n"/>
    </row>
    <row r="250">
      <c r="A250" s="23" t="n"/>
      <c r="B250" s="23" t="n"/>
      <c r="C250" s="24" t="n"/>
      <c r="D250" s="23" t="n"/>
      <c r="E250" s="23" t="n"/>
      <c r="F250" s="23" t="n"/>
      <c r="G250" s="23" t="n"/>
      <c r="H250" s="25" t="n"/>
      <c r="I250" s="26" t="n"/>
      <c r="J250" s="27">
        <f>IF(N(H250)=0,"",IF(M250="SI",0,ROUND(H250*I250,2)))</f>
        <v/>
      </c>
      <c r="K250" s="27">
        <f>IF(N(H250)=0,"",H250+N(J250))</f>
        <v/>
      </c>
      <c r="L250" s="23" t="n"/>
      <c r="M250" s="23" t="n"/>
      <c r="N250" s="23" t="n"/>
    </row>
    <row r="251">
      <c r="A251" s="23" t="n"/>
      <c r="B251" s="23" t="n"/>
      <c r="C251" s="24" t="n"/>
      <c r="D251" s="23" t="n"/>
      <c r="E251" s="23" t="n"/>
      <c r="F251" s="23" t="n"/>
      <c r="G251" s="23" t="n"/>
      <c r="H251" s="25" t="n"/>
      <c r="I251" s="26" t="n"/>
      <c r="J251" s="27">
        <f>IF(N(H251)=0,"",IF(M251="SI",0,ROUND(H251*I251,2)))</f>
        <v/>
      </c>
      <c r="K251" s="27">
        <f>IF(N(H251)=0,"",H251+N(J251))</f>
        <v/>
      </c>
      <c r="L251" s="23" t="n"/>
      <c r="M251" s="23" t="n"/>
      <c r="N251" s="23" t="n"/>
    </row>
    <row r="252">
      <c r="A252" s="23" t="n"/>
      <c r="B252" s="23" t="n"/>
      <c r="C252" s="24" t="n"/>
      <c r="D252" s="23" t="n"/>
      <c r="E252" s="23" t="n"/>
      <c r="F252" s="23" t="n"/>
      <c r="G252" s="23" t="n"/>
      <c r="H252" s="25" t="n"/>
      <c r="I252" s="26" t="n"/>
      <c r="J252" s="27">
        <f>IF(N(H252)=0,"",IF(M252="SI",0,ROUND(H252*I252,2)))</f>
        <v/>
      </c>
      <c r="K252" s="27">
        <f>IF(N(H252)=0,"",H252+N(J252))</f>
        <v/>
      </c>
      <c r="L252" s="23" t="n"/>
      <c r="M252" s="23" t="n"/>
      <c r="N252" s="23" t="n"/>
    </row>
    <row r="253">
      <c r="A253" s="23" t="n"/>
      <c r="B253" s="23" t="n"/>
      <c r="C253" s="24" t="n"/>
      <c r="D253" s="23" t="n"/>
      <c r="E253" s="23" t="n"/>
      <c r="F253" s="23" t="n"/>
      <c r="G253" s="23" t="n"/>
      <c r="H253" s="25" t="n"/>
      <c r="I253" s="26" t="n"/>
      <c r="J253" s="27">
        <f>IF(N(H253)=0,"",IF(M253="SI",0,ROUND(H253*I253,2)))</f>
        <v/>
      </c>
      <c r="K253" s="27">
        <f>IF(N(H253)=0,"",H253+N(J253))</f>
        <v/>
      </c>
      <c r="L253" s="23" t="n"/>
      <c r="M253" s="23" t="n"/>
      <c r="N253" s="23" t="n"/>
    </row>
    <row r="254">
      <c r="A254" s="23" t="n"/>
      <c r="B254" s="23" t="n"/>
      <c r="C254" s="24" t="n"/>
      <c r="D254" s="23" t="n"/>
      <c r="E254" s="23" t="n"/>
      <c r="F254" s="23" t="n"/>
      <c r="G254" s="23" t="n"/>
      <c r="H254" s="25" t="n"/>
      <c r="I254" s="26" t="n"/>
      <c r="J254" s="27">
        <f>IF(N(H254)=0,"",IF(M254="SI",0,ROUND(H254*I254,2)))</f>
        <v/>
      </c>
      <c r="K254" s="27">
        <f>IF(N(H254)=0,"",H254+N(J254))</f>
        <v/>
      </c>
      <c r="L254" s="23" t="n"/>
      <c r="M254" s="23" t="n"/>
      <c r="N254" s="23" t="n"/>
    </row>
    <row r="255">
      <c r="A255" s="23" t="n"/>
      <c r="B255" s="23" t="n"/>
      <c r="C255" s="24" t="n"/>
      <c r="D255" s="23" t="n"/>
      <c r="E255" s="23" t="n"/>
      <c r="F255" s="23" t="n"/>
      <c r="G255" s="23" t="n"/>
      <c r="H255" s="25" t="n"/>
      <c r="I255" s="26" t="n"/>
      <c r="J255" s="27">
        <f>IF(N(H255)=0,"",IF(M255="SI",0,ROUND(H255*I255,2)))</f>
        <v/>
      </c>
      <c r="K255" s="27">
        <f>IF(N(H255)=0,"",H255+N(J255))</f>
        <v/>
      </c>
      <c r="L255" s="23" t="n"/>
      <c r="M255" s="23" t="n"/>
      <c r="N255" s="23" t="n"/>
    </row>
    <row r="256">
      <c r="A256" s="23" t="n"/>
      <c r="B256" s="23" t="n"/>
      <c r="C256" s="24" t="n"/>
      <c r="D256" s="23" t="n"/>
      <c r="E256" s="23" t="n"/>
      <c r="F256" s="23" t="n"/>
      <c r="G256" s="23" t="n"/>
      <c r="H256" s="25" t="n"/>
      <c r="I256" s="26" t="n"/>
      <c r="J256" s="27">
        <f>IF(N(H256)=0,"",IF(M256="SI",0,ROUND(H256*I256,2)))</f>
        <v/>
      </c>
      <c r="K256" s="27">
        <f>IF(N(H256)=0,"",H256+N(J256))</f>
        <v/>
      </c>
      <c r="L256" s="23" t="n"/>
      <c r="M256" s="23" t="n"/>
      <c r="N256" s="23" t="n"/>
    </row>
    <row r="257">
      <c r="A257" s="23" t="n"/>
      <c r="B257" s="23" t="n"/>
      <c r="C257" s="24" t="n"/>
      <c r="D257" s="23" t="n"/>
      <c r="E257" s="23" t="n"/>
      <c r="F257" s="23" t="n"/>
      <c r="G257" s="23" t="n"/>
      <c r="H257" s="25" t="n"/>
      <c r="I257" s="26" t="n"/>
      <c r="J257" s="27">
        <f>IF(N(H257)=0,"",IF(M257="SI",0,ROUND(H257*I257,2)))</f>
        <v/>
      </c>
      <c r="K257" s="27">
        <f>IF(N(H257)=0,"",H257+N(J257))</f>
        <v/>
      </c>
      <c r="L257" s="23" t="n"/>
      <c r="M257" s="23" t="n"/>
      <c r="N257" s="23" t="n"/>
    </row>
    <row r="258">
      <c r="A258" s="23" t="n"/>
      <c r="B258" s="23" t="n"/>
      <c r="C258" s="24" t="n"/>
      <c r="D258" s="23" t="n"/>
      <c r="E258" s="23" t="n"/>
      <c r="F258" s="23" t="n"/>
      <c r="G258" s="23" t="n"/>
      <c r="H258" s="25" t="n"/>
      <c r="I258" s="26" t="n"/>
      <c r="J258" s="27">
        <f>IF(N(H258)=0,"",IF(M258="SI",0,ROUND(H258*I258,2)))</f>
        <v/>
      </c>
      <c r="K258" s="27">
        <f>IF(N(H258)=0,"",H258+N(J258))</f>
        <v/>
      </c>
      <c r="L258" s="23" t="n"/>
      <c r="M258" s="23" t="n"/>
      <c r="N258" s="23" t="n"/>
    </row>
    <row r="259">
      <c r="A259" s="23" t="n"/>
      <c r="B259" s="23" t="n"/>
      <c r="C259" s="24" t="n"/>
      <c r="D259" s="23" t="n"/>
      <c r="E259" s="23" t="n"/>
      <c r="F259" s="23" t="n"/>
      <c r="G259" s="23" t="n"/>
      <c r="H259" s="25" t="n"/>
      <c r="I259" s="26" t="n"/>
      <c r="J259" s="27">
        <f>IF(N(H259)=0,"",IF(M259="SI",0,ROUND(H259*I259,2)))</f>
        <v/>
      </c>
      <c r="K259" s="27">
        <f>IF(N(H259)=0,"",H259+N(J259))</f>
        <v/>
      </c>
      <c r="L259" s="23" t="n"/>
      <c r="M259" s="23" t="n"/>
      <c r="N259" s="23" t="n"/>
    </row>
    <row r="260">
      <c r="A260" s="23" t="n"/>
      <c r="B260" s="23" t="n"/>
      <c r="C260" s="24" t="n"/>
      <c r="D260" s="23" t="n"/>
      <c r="E260" s="23" t="n"/>
      <c r="F260" s="23" t="n"/>
      <c r="G260" s="23" t="n"/>
      <c r="H260" s="25" t="n"/>
      <c r="I260" s="26" t="n"/>
      <c r="J260" s="27">
        <f>IF(N(H260)=0,"",IF(M260="SI",0,ROUND(H260*I260,2)))</f>
        <v/>
      </c>
      <c r="K260" s="27">
        <f>IF(N(H260)=0,"",H260+N(J260))</f>
        <v/>
      </c>
      <c r="L260" s="23" t="n"/>
      <c r="M260" s="23" t="n"/>
      <c r="N260" s="23" t="n"/>
    </row>
    <row r="261">
      <c r="A261" s="23" t="n"/>
      <c r="B261" s="23" t="n"/>
      <c r="C261" s="24" t="n"/>
      <c r="D261" s="23" t="n"/>
      <c r="E261" s="23" t="n"/>
      <c r="F261" s="23" t="n"/>
      <c r="G261" s="23" t="n"/>
      <c r="H261" s="25" t="n"/>
      <c r="I261" s="26" t="n"/>
      <c r="J261" s="27">
        <f>IF(N(H261)=0,"",IF(M261="SI",0,ROUND(H261*I261,2)))</f>
        <v/>
      </c>
      <c r="K261" s="27">
        <f>IF(N(H261)=0,"",H261+N(J261))</f>
        <v/>
      </c>
      <c r="L261" s="23" t="n"/>
      <c r="M261" s="23" t="n"/>
      <c r="N261" s="23" t="n"/>
    </row>
    <row r="262">
      <c r="A262" s="23" t="n"/>
      <c r="B262" s="23" t="n"/>
      <c r="C262" s="24" t="n"/>
      <c r="D262" s="23" t="n"/>
      <c r="E262" s="23" t="n"/>
      <c r="F262" s="23" t="n"/>
      <c r="G262" s="23" t="n"/>
      <c r="H262" s="25" t="n"/>
      <c r="I262" s="26" t="n"/>
      <c r="J262" s="27">
        <f>IF(N(H262)=0,"",IF(M262="SI",0,ROUND(H262*I262,2)))</f>
        <v/>
      </c>
      <c r="K262" s="27">
        <f>IF(N(H262)=0,"",H262+N(J262))</f>
        <v/>
      </c>
      <c r="L262" s="23" t="n"/>
      <c r="M262" s="23" t="n"/>
      <c r="N262" s="23" t="n"/>
    </row>
    <row r="263">
      <c r="A263" s="23" t="n"/>
      <c r="B263" s="23" t="n"/>
      <c r="C263" s="24" t="n"/>
      <c r="D263" s="23" t="n"/>
      <c r="E263" s="23" t="n"/>
      <c r="F263" s="23" t="n"/>
      <c r="G263" s="23" t="n"/>
      <c r="H263" s="25" t="n"/>
      <c r="I263" s="26" t="n"/>
      <c r="J263" s="27">
        <f>IF(N(H263)=0,"",IF(M263="SI",0,ROUND(H263*I263,2)))</f>
        <v/>
      </c>
      <c r="K263" s="27">
        <f>IF(N(H263)=0,"",H263+N(J263))</f>
        <v/>
      </c>
      <c r="L263" s="23" t="n"/>
      <c r="M263" s="23" t="n"/>
      <c r="N263" s="23" t="n"/>
    </row>
    <row r="264">
      <c r="A264" s="23" t="n"/>
      <c r="B264" s="23" t="n"/>
      <c r="C264" s="24" t="n"/>
      <c r="D264" s="23" t="n"/>
      <c r="E264" s="23" t="n"/>
      <c r="F264" s="23" t="n"/>
      <c r="G264" s="23" t="n"/>
      <c r="H264" s="25" t="n"/>
      <c r="I264" s="26" t="n"/>
      <c r="J264" s="27">
        <f>IF(N(H264)=0,"",IF(M264="SI",0,ROUND(H264*I264,2)))</f>
        <v/>
      </c>
      <c r="K264" s="27">
        <f>IF(N(H264)=0,"",H264+N(J264))</f>
        <v/>
      </c>
      <c r="L264" s="23" t="n"/>
      <c r="M264" s="23" t="n"/>
      <c r="N264" s="23" t="n"/>
    </row>
    <row r="265">
      <c r="A265" s="23" t="n"/>
      <c r="B265" s="23" t="n"/>
      <c r="C265" s="24" t="n"/>
      <c r="D265" s="23" t="n"/>
      <c r="E265" s="23" t="n"/>
      <c r="F265" s="23" t="n"/>
      <c r="G265" s="23" t="n"/>
      <c r="H265" s="25" t="n"/>
      <c r="I265" s="26" t="n"/>
      <c r="J265" s="27">
        <f>IF(N(H265)=0,"",IF(M265="SI",0,ROUND(H265*I265,2)))</f>
        <v/>
      </c>
      <c r="K265" s="27">
        <f>IF(N(H265)=0,"",H265+N(J265))</f>
        <v/>
      </c>
      <c r="L265" s="23" t="n"/>
      <c r="M265" s="23" t="n"/>
      <c r="N265" s="23" t="n"/>
    </row>
    <row r="266">
      <c r="A266" s="23" t="n"/>
      <c r="B266" s="23" t="n"/>
      <c r="C266" s="24" t="n"/>
      <c r="D266" s="23" t="n"/>
      <c r="E266" s="23" t="n"/>
      <c r="F266" s="23" t="n"/>
      <c r="G266" s="23" t="n"/>
      <c r="H266" s="25" t="n"/>
      <c r="I266" s="26" t="n"/>
      <c r="J266" s="27">
        <f>IF(N(H266)=0,"",IF(M266="SI",0,ROUND(H266*I266,2)))</f>
        <v/>
      </c>
      <c r="K266" s="27">
        <f>IF(N(H266)=0,"",H266+N(J266))</f>
        <v/>
      </c>
      <c r="L266" s="23" t="n"/>
      <c r="M266" s="23" t="n"/>
      <c r="N266" s="23" t="n"/>
    </row>
    <row r="267">
      <c r="A267" s="23" t="n"/>
      <c r="B267" s="23" t="n"/>
      <c r="C267" s="24" t="n"/>
      <c r="D267" s="23" t="n"/>
      <c r="E267" s="23" t="n"/>
      <c r="F267" s="23" t="n"/>
      <c r="G267" s="23" t="n"/>
      <c r="H267" s="25" t="n"/>
      <c r="I267" s="26" t="n"/>
      <c r="J267" s="27">
        <f>IF(N(H267)=0,"",IF(M267="SI",0,ROUND(H267*I267,2)))</f>
        <v/>
      </c>
      <c r="K267" s="27">
        <f>IF(N(H267)=0,"",H267+N(J267))</f>
        <v/>
      </c>
      <c r="L267" s="23" t="n"/>
      <c r="M267" s="23" t="n"/>
      <c r="N267" s="23" t="n"/>
    </row>
    <row r="268">
      <c r="A268" s="23" t="n"/>
      <c r="B268" s="23" t="n"/>
      <c r="C268" s="24" t="n"/>
      <c r="D268" s="23" t="n"/>
      <c r="E268" s="23" t="n"/>
      <c r="F268" s="23" t="n"/>
      <c r="G268" s="23" t="n"/>
      <c r="H268" s="25" t="n"/>
      <c r="I268" s="26" t="n"/>
      <c r="J268" s="27">
        <f>IF(N(H268)=0,"",IF(M268="SI",0,ROUND(H268*I268,2)))</f>
        <v/>
      </c>
      <c r="K268" s="27">
        <f>IF(N(H268)=0,"",H268+N(J268))</f>
        <v/>
      </c>
      <c r="L268" s="23" t="n"/>
      <c r="M268" s="23" t="n"/>
      <c r="N268" s="23" t="n"/>
    </row>
    <row r="269">
      <c r="A269" s="23" t="n"/>
      <c r="B269" s="23" t="n"/>
      <c r="C269" s="24" t="n"/>
      <c r="D269" s="23" t="n"/>
      <c r="E269" s="23" t="n"/>
      <c r="F269" s="23" t="n"/>
      <c r="G269" s="23" t="n"/>
      <c r="H269" s="25" t="n"/>
      <c r="I269" s="26" t="n"/>
      <c r="J269" s="27">
        <f>IF(N(H269)=0,"",IF(M269="SI",0,ROUND(H269*I269,2)))</f>
        <v/>
      </c>
      <c r="K269" s="27">
        <f>IF(N(H269)=0,"",H269+N(J269))</f>
        <v/>
      </c>
      <c r="L269" s="23" t="n"/>
      <c r="M269" s="23" t="n"/>
      <c r="N269" s="23" t="n"/>
    </row>
    <row r="270">
      <c r="A270" s="23" t="n"/>
      <c r="B270" s="23" t="n"/>
      <c r="C270" s="24" t="n"/>
      <c r="D270" s="23" t="n"/>
      <c r="E270" s="23" t="n"/>
      <c r="F270" s="23" t="n"/>
      <c r="G270" s="23" t="n"/>
      <c r="H270" s="25" t="n"/>
      <c r="I270" s="26" t="n"/>
      <c r="J270" s="27">
        <f>IF(N(H270)=0,"",IF(M270="SI",0,ROUND(H270*I270,2)))</f>
        <v/>
      </c>
      <c r="K270" s="27">
        <f>IF(N(H270)=0,"",H270+N(J270))</f>
        <v/>
      </c>
      <c r="L270" s="23" t="n"/>
      <c r="M270" s="23" t="n"/>
      <c r="N270" s="23" t="n"/>
    </row>
    <row r="271">
      <c r="A271" s="23" t="n"/>
      <c r="B271" s="23" t="n"/>
      <c r="C271" s="24" t="n"/>
      <c r="D271" s="23" t="n"/>
      <c r="E271" s="23" t="n"/>
      <c r="F271" s="23" t="n"/>
      <c r="G271" s="23" t="n"/>
      <c r="H271" s="25" t="n"/>
      <c r="I271" s="26" t="n"/>
      <c r="J271" s="27">
        <f>IF(N(H271)=0,"",IF(M271="SI",0,ROUND(H271*I271,2)))</f>
        <v/>
      </c>
      <c r="K271" s="27">
        <f>IF(N(H271)=0,"",H271+N(J271))</f>
        <v/>
      </c>
      <c r="L271" s="23" t="n"/>
      <c r="M271" s="23" t="n"/>
      <c r="N271" s="23" t="n"/>
    </row>
    <row r="272">
      <c r="A272" s="23" t="n"/>
      <c r="B272" s="23" t="n"/>
      <c r="C272" s="24" t="n"/>
      <c r="D272" s="23" t="n"/>
      <c r="E272" s="23" t="n"/>
      <c r="F272" s="23" t="n"/>
      <c r="G272" s="23" t="n"/>
      <c r="H272" s="25" t="n"/>
      <c r="I272" s="26" t="n"/>
      <c r="J272" s="27">
        <f>IF(N(H272)=0,"",IF(M272="SI",0,ROUND(H272*I272,2)))</f>
        <v/>
      </c>
      <c r="K272" s="27">
        <f>IF(N(H272)=0,"",H272+N(J272))</f>
        <v/>
      </c>
      <c r="L272" s="23" t="n"/>
      <c r="M272" s="23" t="n"/>
      <c r="N272" s="23" t="n"/>
    </row>
    <row r="273">
      <c r="A273" s="23" t="n"/>
      <c r="B273" s="23" t="n"/>
      <c r="C273" s="24" t="n"/>
      <c r="D273" s="23" t="n"/>
      <c r="E273" s="23" t="n"/>
      <c r="F273" s="23" t="n"/>
      <c r="G273" s="23" t="n"/>
      <c r="H273" s="25" t="n"/>
      <c r="I273" s="26" t="n"/>
      <c r="J273" s="27">
        <f>IF(N(H273)=0,"",IF(M273="SI",0,ROUND(H273*I273,2)))</f>
        <v/>
      </c>
      <c r="K273" s="27">
        <f>IF(N(H273)=0,"",H273+N(J273))</f>
        <v/>
      </c>
      <c r="L273" s="23" t="n"/>
      <c r="M273" s="23" t="n"/>
      <c r="N273" s="23" t="n"/>
    </row>
    <row r="274">
      <c r="A274" s="23" t="n"/>
      <c r="B274" s="23" t="n"/>
      <c r="C274" s="24" t="n"/>
      <c r="D274" s="23" t="n"/>
      <c r="E274" s="23" t="n"/>
      <c r="F274" s="23" t="n"/>
      <c r="G274" s="23" t="n"/>
      <c r="H274" s="25" t="n"/>
      <c r="I274" s="26" t="n"/>
      <c r="J274" s="27">
        <f>IF(N(H274)=0,"",IF(M274="SI",0,ROUND(H274*I274,2)))</f>
        <v/>
      </c>
      <c r="K274" s="27">
        <f>IF(N(H274)=0,"",H274+N(J274))</f>
        <v/>
      </c>
      <c r="L274" s="23" t="n"/>
      <c r="M274" s="23" t="n"/>
      <c r="N274" s="23" t="n"/>
    </row>
    <row r="275">
      <c r="A275" s="23" t="n"/>
      <c r="B275" s="23" t="n"/>
      <c r="C275" s="24" t="n"/>
      <c r="D275" s="23" t="n"/>
      <c r="E275" s="23" t="n"/>
      <c r="F275" s="23" t="n"/>
      <c r="G275" s="23" t="n"/>
      <c r="H275" s="25" t="n"/>
      <c r="I275" s="26" t="n"/>
      <c r="J275" s="27">
        <f>IF(N(H275)=0,"",IF(M275="SI",0,ROUND(H275*I275,2)))</f>
        <v/>
      </c>
      <c r="K275" s="27">
        <f>IF(N(H275)=0,"",H275+N(J275))</f>
        <v/>
      </c>
      <c r="L275" s="23" t="n"/>
      <c r="M275" s="23" t="n"/>
      <c r="N275" s="23" t="n"/>
    </row>
    <row r="276">
      <c r="A276" s="23" t="n"/>
      <c r="B276" s="23" t="n"/>
      <c r="C276" s="24" t="n"/>
      <c r="D276" s="23" t="n"/>
      <c r="E276" s="23" t="n"/>
      <c r="F276" s="23" t="n"/>
      <c r="G276" s="23" t="n"/>
      <c r="H276" s="25" t="n"/>
      <c r="I276" s="26" t="n"/>
      <c r="J276" s="27">
        <f>IF(N(H276)=0,"",IF(M276="SI",0,ROUND(H276*I276,2)))</f>
        <v/>
      </c>
      <c r="K276" s="27">
        <f>IF(N(H276)=0,"",H276+N(J276))</f>
        <v/>
      </c>
      <c r="L276" s="23" t="n"/>
      <c r="M276" s="23" t="n"/>
      <c r="N276" s="23" t="n"/>
    </row>
    <row r="277">
      <c r="A277" s="23" t="n"/>
      <c r="B277" s="23" t="n"/>
      <c r="C277" s="24" t="n"/>
      <c r="D277" s="23" t="n"/>
      <c r="E277" s="23" t="n"/>
      <c r="F277" s="23" t="n"/>
      <c r="G277" s="23" t="n"/>
      <c r="H277" s="25" t="n"/>
      <c r="I277" s="26" t="n"/>
      <c r="J277" s="27">
        <f>IF(N(H277)=0,"",IF(M277="SI",0,ROUND(H277*I277,2)))</f>
        <v/>
      </c>
      <c r="K277" s="27">
        <f>IF(N(H277)=0,"",H277+N(J277))</f>
        <v/>
      </c>
      <c r="L277" s="23" t="n"/>
      <c r="M277" s="23" t="n"/>
      <c r="N277" s="23" t="n"/>
    </row>
    <row r="278">
      <c r="A278" s="23" t="n"/>
      <c r="B278" s="23" t="n"/>
      <c r="C278" s="24" t="n"/>
      <c r="D278" s="23" t="n"/>
      <c r="E278" s="23" t="n"/>
      <c r="F278" s="23" t="n"/>
      <c r="G278" s="23" t="n"/>
      <c r="H278" s="25" t="n"/>
      <c r="I278" s="26" t="n"/>
      <c r="J278" s="27">
        <f>IF(N(H278)=0,"",IF(M278="SI",0,ROUND(H278*I278,2)))</f>
        <v/>
      </c>
      <c r="K278" s="27">
        <f>IF(N(H278)=0,"",H278+N(J278))</f>
        <v/>
      </c>
      <c r="L278" s="23" t="n"/>
      <c r="M278" s="23" t="n"/>
      <c r="N278" s="23" t="n"/>
    </row>
    <row r="279">
      <c r="A279" s="23" t="n"/>
      <c r="B279" s="23" t="n"/>
      <c r="C279" s="24" t="n"/>
      <c r="D279" s="23" t="n"/>
      <c r="E279" s="23" t="n"/>
      <c r="F279" s="23" t="n"/>
      <c r="G279" s="23" t="n"/>
      <c r="H279" s="25" t="n"/>
      <c r="I279" s="26" t="n"/>
      <c r="J279" s="27">
        <f>IF(N(H279)=0,"",IF(M279="SI",0,ROUND(H279*I279,2)))</f>
        <v/>
      </c>
      <c r="K279" s="27">
        <f>IF(N(H279)=0,"",H279+N(J279))</f>
        <v/>
      </c>
      <c r="L279" s="23" t="n"/>
      <c r="M279" s="23" t="n"/>
      <c r="N279" s="23" t="n"/>
    </row>
    <row r="280">
      <c r="A280" s="23" t="n"/>
      <c r="B280" s="23" t="n"/>
      <c r="C280" s="24" t="n"/>
      <c r="D280" s="23" t="n"/>
      <c r="E280" s="23" t="n"/>
      <c r="F280" s="23" t="n"/>
      <c r="G280" s="23" t="n"/>
      <c r="H280" s="25" t="n"/>
      <c r="I280" s="26" t="n"/>
      <c r="J280" s="27">
        <f>IF(N(H280)=0,"",IF(M280="SI",0,ROUND(H280*I280,2)))</f>
        <v/>
      </c>
      <c r="K280" s="27">
        <f>IF(N(H280)=0,"",H280+N(J280))</f>
        <v/>
      </c>
      <c r="L280" s="23" t="n"/>
      <c r="M280" s="23" t="n"/>
      <c r="N280" s="23" t="n"/>
    </row>
    <row r="281">
      <c r="A281" s="23" t="n"/>
      <c r="B281" s="23" t="n"/>
      <c r="C281" s="24" t="n"/>
      <c r="D281" s="23" t="n"/>
      <c r="E281" s="23" t="n"/>
      <c r="F281" s="23" t="n"/>
      <c r="G281" s="23" t="n"/>
      <c r="H281" s="25" t="n"/>
      <c r="I281" s="26" t="n"/>
      <c r="J281" s="27">
        <f>IF(N(H281)=0,"",IF(M281="SI",0,ROUND(H281*I281,2)))</f>
        <v/>
      </c>
      <c r="K281" s="27">
        <f>IF(N(H281)=0,"",H281+N(J281))</f>
        <v/>
      </c>
      <c r="L281" s="23" t="n"/>
      <c r="M281" s="23" t="n"/>
      <c r="N281" s="23" t="n"/>
    </row>
    <row r="282">
      <c r="A282" s="23" t="n"/>
      <c r="B282" s="23" t="n"/>
      <c r="C282" s="24" t="n"/>
      <c r="D282" s="23" t="n"/>
      <c r="E282" s="23" t="n"/>
      <c r="F282" s="23" t="n"/>
      <c r="G282" s="23" t="n"/>
      <c r="H282" s="25" t="n"/>
      <c r="I282" s="26" t="n"/>
      <c r="J282" s="27">
        <f>IF(N(H282)=0,"",IF(M282="SI",0,ROUND(H282*I282,2)))</f>
        <v/>
      </c>
      <c r="K282" s="27">
        <f>IF(N(H282)=0,"",H282+N(J282))</f>
        <v/>
      </c>
      <c r="L282" s="23" t="n"/>
      <c r="M282" s="23" t="n"/>
      <c r="N282" s="23" t="n"/>
    </row>
    <row r="283">
      <c r="A283" s="23" t="n"/>
      <c r="B283" s="23" t="n"/>
      <c r="C283" s="24" t="n"/>
      <c r="D283" s="23" t="n"/>
      <c r="E283" s="23" t="n"/>
      <c r="F283" s="23" t="n"/>
      <c r="G283" s="23" t="n"/>
      <c r="H283" s="25" t="n"/>
      <c r="I283" s="26" t="n"/>
      <c r="J283" s="27">
        <f>IF(N(H283)=0,"",IF(M283="SI",0,ROUND(H283*I283,2)))</f>
        <v/>
      </c>
      <c r="K283" s="27">
        <f>IF(N(H283)=0,"",H283+N(J283))</f>
        <v/>
      </c>
      <c r="L283" s="23" t="n"/>
      <c r="M283" s="23" t="n"/>
      <c r="N283" s="23" t="n"/>
    </row>
    <row r="284">
      <c r="A284" s="23" t="n"/>
      <c r="B284" s="23" t="n"/>
      <c r="C284" s="24" t="n"/>
      <c r="D284" s="23" t="n"/>
      <c r="E284" s="23" t="n"/>
      <c r="F284" s="23" t="n"/>
      <c r="G284" s="23" t="n"/>
      <c r="H284" s="25" t="n"/>
      <c r="I284" s="26" t="n"/>
      <c r="J284" s="27">
        <f>IF(N(H284)=0,"",IF(M284="SI",0,ROUND(H284*I284,2)))</f>
        <v/>
      </c>
      <c r="K284" s="27">
        <f>IF(N(H284)=0,"",H284+N(J284))</f>
        <v/>
      </c>
      <c r="L284" s="23" t="n"/>
      <c r="M284" s="23" t="n"/>
      <c r="N284" s="23" t="n"/>
    </row>
    <row r="285">
      <c r="A285" s="23" t="n"/>
      <c r="B285" s="23" t="n"/>
      <c r="C285" s="24" t="n"/>
      <c r="D285" s="23" t="n"/>
      <c r="E285" s="23" t="n"/>
      <c r="F285" s="23" t="n"/>
      <c r="G285" s="23" t="n"/>
      <c r="H285" s="25" t="n"/>
      <c r="I285" s="26" t="n"/>
      <c r="J285" s="27">
        <f>IF(N(H285)=0,"",IF(M285="SI",0,ROUND(H285*I285,2)))</f>
        <v/>
      </c>
      <c r="K285" s="27">
        <f>IF(N(H285)=0,"",H285+N(J285))</f>
        <v/>
      </c>
      <c r="L285" s="23" t="n"/>
      <c r="M285" s="23" t="n"/>
      <c r="N285" s="23" t="n"/>
    </row>
    <row r="286">
      <c r="A286" s="23" t="n"/>
      <c r="B286" s="23" t="n"/>
      <c r="C286" s="24" t="n"/>
      <c r="D286" s="23" t="n"/>
      <c r="E286" s="23" t="n"/>
      <c r="F286" s="23" t="n"/>
      <c r="G286" s="23" t="n"/>
      <c r="H286" s="25" t="n"/>
      <c r="I286" s="26" t="n"/>
      <c r="J286" s="27">
        <f>IF(N(H286)=0,"",IF(M286="SI",0,ROUND(H286*I286,2)))</f>
        <v/>
      </c>
      <c r="K286" s="27">
        <f>IF(N(H286)=0,"",H286+N(J286))</f>
        <v/>
      </c>
      <c r="L286" s="23" t="n"/>
      <c r="M286" s="23" t="n"/>
      <c r="N286" s="23" t="n"/>
    </row>
    <row r="287">
      <c r="A287" s="23" t="n"/>
      <c r="B287" s="23" t="n"/>
      <c r="C287" s="24" t="n"/>
      <c r="D287" s="23" t="n"/>
      <c r="E287" s="23" t="n"/>
      <c r="F287" s="23" t="n"/>
      <c r="G287" s="23" t="n"/>
      <c r="H287" s="25" t="n"/>
      <c r="I287" s="26" t="n"/>
      <c r="J287" s="27">
        <f>IF(N(H287)=0,"",IF(M287="SI",0,ROUND(H287*I287,2)))</f>
        <v/>
      </c>
      <c r="K287" s="27">
        <f>IF(N(H287)=0,"",H287+N(J287))</f>
        <v/>
      </c>
      <c r="L287" s="23" t="n"/>
      <c r="M287" s="23" t="n"/>
      <c r="N287" s="23" t="n"/>
    </row>
    <row r="288">
      <c r="A288" s="23" t="n"/>
      <c r="B288" s="23" t="n"/>
      <c r="C288" s="24" t="n"/>
      <c r="D288" s="23" t="n"/>
      <c r="E288" s="23" t="n"/>
      <c r="F288" s="23" t="n"/>
      <c r="G288" s="23" t="n"/>
      <c r="H288" s="25" t="n"/>
      <c r="I288" s="26" t="n"/>
      <c r="J288" s="27">
        <f>IF(N(H288)=0,"",IF(M288="SI",0,ROUND(H288*I288,2)))</f>
        <v/>
      </c>
      <c r="K288" s="27">
        <f>IF(N(H288)=0,"",H288+N(J288))</f>
        <v/>
      </c>
      <c r="L288" s="23" t="n"/>
      <c r="M288" s="23" t="n"/>
      <c r="N288" s="23" t="n"/>
    </row>
    <row r="289">
      <c r="A289" s="23" t="n"/>
      <c r="B289" s="23" t="n"/>
      <c r="C289" s="24" t="n"/>
      <c r="D289" s="23" t="n"/>
      <c r="E289" s="23" t="n"/>
      <c r="F289" s="23" t="n"/>
      <c r="G289" s="23" t="n"/>
      <c r="H289" s="25" t="n"/>
      <c r="I289" s="26" t="n"/>
      <c r="J289" s="27">
        <f>IF(N(H289)=0,"",IF(M289="SI",0,ROUND(H289*I289,2)))</f>
        <v/>
      </c>
      <c r="K289" s="27">
        <f>IF(N(H289)=0,"",H289+N(J289))</f>
        <v/>
      </c>
      <c r="L289" s="23" t="n"/>
      <c r="M289" s="23" t="n"/>
      <c r="N289" s="23" t="n"/>
    </row>
    <row r="290">
      <c r="A290" s="23" t="n"/>
      <c r="B290" s="23" t="n"/>
      <c r="C290" s="24" t="n"/>
      <c r="D290" s="23" t="n"/>
      <c r="E290" s="23" t="n"/>
      <c r="F290" s="23" t="n"/>
      <c r="G290" s="23" t="n"/>
      <c r="H290" s="25" t="n"/>
      <c r="I290" s="26" t="n"/>
      <c r="J290" s="27">
        <f>IF(N(H290)=0,"",IF(M290="SI",0,ROUND(H290*I290,2)))</f>
        <v/>
      </c>
      <c r="K290" s="27">
        <f>IF(N(H290)=0,"",H290+N(J290))</f>
        <v/>
      </c>
      <c r="L290" s="23" t="n"/>
      <c r="M290" s="23" t="n"/>
      <c r="N290" s="23" t="n"/>
    </row>
    <row r="291">
      <c r="A291" s="23" t="n"/>
      <c r="B291" s="23" t="n"/>
      <c r="C291" s="24" t="n"/>
      <c r="D291" s="23" t="n"/>
      <c r="E291" s="23" t="n"/>
      <c r="F291" s="23" t="n"/>
      <c r="G291" s="23" t="n"/>
      <c r="H291" s="25" t="n"/>
      <c r="I291" s="26" t="n"/>
      <c r="J291" s="27">
        <f>IF(N(H291)=0,"",IF(M291="SI",0,ROUND(H291*I291,2)))</f>
        <v/>
      </c>
      <c r="K291" s="27">
        <f>IF(N(H291)=0,"",H291+N(J291))</f>
        <v/>
      </c>
      <c r="L291" s="23" t="n"/>
      <c r="M291" s="23" t="n"/>
      <c r="N291" s="23" t="n"/>
    </row>
    <row r="292">
      <c r="A292" s="23" t="n"/>
      <c r="B292" s="23" t="n"/>
      <c r="C292" s="24" t="n"/>
      <c r="D292" s="23" t="n"/>
      <c r="E292" s="23" t="n"/>
      <c r="F292" s="23" t="n"/>
      <c r="G292" s="23" t="n"/>
      <c r="H292" s="25" t="n"/>
      <c r="I292" s="26" t="n"/>
      <c r="J292" s="27">
        <f>IF(N(H292)=0,"",IF(M292="SI",0,ROUND(H292*I292,2)))</f>
        <v/>
      </c>
      <c r="K292" s="27">
        <f>IF(N(H292)=0,"",H292+N(J292))</f>
        <v/>
      </c>
      <c r="L292" s="23" t="n"/>
      <c r="M292" s="23" t="n"/>
      <c r="N292" s="23" t="n"/>
    </row>
    <row r="293">
      <c r="A293" s="23" t="n"/>
      <c r="B293" s="23" t="n"/>
      <c r="C293" s="24" t="n"/>
      <c r="D293" s="23" t="n"/>
      <c r="E293" s="23" t="n"/>
      <c r="F293" s="23" t="n"/>
      <c r="G293" s="23" t="n"/>
      <c r="H293" s="25" t="n"/>
      <c r="I293" s="26" t="n"/>
      <c r="J293" s="27">
        <f>IF(N(H293)=0,"",IF(M293="SI",0,ROUND(H293*I293,2)))</f>
        <v/>
      </c>
      <c r="K293" s="27">
        <f>IF(N(H293)=0,"",H293+N(J293))</f>
        <v/>
      </c>
      <c r="L293" s="23" t="n"/>
      <c r="M293" s="23" t="n"/>
      <c r="N293" s="23" t="n"/>
    </row>
    <row r="294">
      <c r="A294" s="23" t="n"/>
      <c r="B294" s="23" t="n"/>
      <c r="C294" s="24" t="n"/>
      <c r="D294" s="23" t="n"/>
      <c r="E294" s="23" t="n"/>
      <c r="F294" s="23" t="n"/>
      <c r="G294" s="23" t="n"/>
      <c r="H294" s="25" t="n"/>
      <c r="I294" s="26" t="n"/>
      <c r="J294" s="27">
        <f>IF(N(H294)=0,"",IF(M294="SI",0,ROUND(H294*I294,2)))</f>
        <v/>
      </c>
      <c r="K294" s="27">
        <f>IF(N(H294)=0,"",H294+N(J294))</f>
        <v/>
      </c>
      <c r="L294" s="23" t="n"/>
      <c r="M294" s="23" t="n"/>
      <c r="N294" s="23" t="n"/>
    </row>
    <row r="295">
      <c r="A295" s="23" t="n"/>
      <c r="B295" s="23" t="n"/>
      <c r="C295" s="24" t="n"/>
      <c r="D295" s="23" t="n"/>
      <c r="E295" s="23" t="n"/>
      <c r="F295" s="23" t="n"/>
      <c r="G295" s="23" t="n"/>
      <c r="H295" s="25" t="n"/>
      <c r="I295" s="26" t="n"/>
      <c r="J295" s="27">
        <f>IF(N(H295)=0,"",IF(M295="SI",0,ROUND(H295*I295,2)))</f>
        <v/>
      </c>
      <c r="K295" s="27">
        <f>IF(N(H295)=0,"",H295+N(J295))</f>
        <v/>
      </c>
      <c r="L295" s="23" t="n"/>
      <c r="M295" s="23" t="n"/>
      <c r="N295" s="23" t="n"/>
    </row>
    <row r="296">
      <c r="A296" s="23" t="n"/>
      <c r="B296" s="23" t="n"/>
      <c r="C296" s="24" t="n"/>
      <c r="D296" s="23" t="n"/>
      <c r="E296" s="23" t="n"/>
      <c r="F296" s="23" t="n"/>
      <c r="G296" s="23" t="n"/>
      <c r="H296" s="25" t="n"/>
      <c r="I296" s="26" t="n"/>
      <c r="J296" s="27">
        <f>IF(N(H296)=0,"",IF(M296="SI",0,ROUND(H296*I296,2)))</f>
        <v/>
      </c>
      <c r="K296" s="27">
        <f>IF(N(H296)=0,"",H296+N(J296))</f>
        <v/>
      </c>
      <c r="L296" s="23" t="n"/>
      <c r="M296" s="23" t="n"/>
      <c r="N296" s="23" t="n"/>
    </row>
    <row r="297">
      <c r="A297" s="23" t="n"/>
      <c r="B297" s="23" t="n"/>
      <c r="C297" s="24" t="n"/>
      <c r="D297" s="23" t="n"/>
      <c r="E297" s="23" t="n"/>
      <c r="F297" s="23" t="n"/>
      <c r="G297" s="23" t="n"/>
      <c r="H297" s="25" t="n"/>
      <c r="I297" s="26" t="n"/>
      <c r="J297" s="27">
        <f>IF(N(H297)=0,"",IF(M297="SI",0,ROUND(H297*I297,2)))</f>
        <v/>
      </c>
      <c r="K297" s="27">
        <f>IF(N(H297)=0,"",H297+N(J297))</f>
        <v/>
      </c>
      <c r="L297" s="23" t="n"/>
      <c r="M297" s="23" t="n"/>
      <c r="N297" s="23" t="n"/>
    </row>
    <row r="298">
      <c r="A298" s="23" t="n"/>
      <c r="B298" s="23" t="n"/>
      <c r="C298" s="24" t="n"/>
      <c r="D298" s="23" t="n"/>
      <c r="E298" s="23" t="n"/>
      <c r="F298" s="23" t="n"/>
      <c r="G298" s="23" t="n"/>
      <c r="H298" s="25" t="n"/>
      <c r="I298" s="26" t="n"/>
      <c r="J298" s="27">
        <f>IF(N(H298)=0,"",IF(M298="SI",0,ROUND(H298*I298,2)))</f>
        <v/>
      </c>
      <c r="K298" s="27">
        <f>IF(N(H298)=0,"",H298+N(J298))</f>
        <v/>
      </c>
      <c r="L298" s="23" t="n"/>
      <c r="M298" s="23" t="n"/>
      <c r="N298" s="23" t="n"/>
    </row>
    <row r="299">
      <c r="A299" s="23" t="n"/>
      <c r="B299" s="23" t="n"/>
      <c r="C299" s="24" t="n"/>
      <c r="D299" s="23" t="n"/>
      <c r="E299" s="23" t="n"/>
      <c r="F299" s="23" t="n"/>
      <c r="G299" s="23" t="n"/>
      <c r="H299" s="25" t="n"/>
      <c r="I299" s="26" t="n"/>
      <c r="J299" s="27">
        <f>IF(N(H299)=0,"",IF(M299="SI",0,ROUND(H299*I299,2)))</f>
        <v/>
      </c>
      <c r="K299" s="27">
        <f>IF(N(H299)=0,"",H299+N(J299))</f>
        <v/>
      </c>
      <c r="L299" s="23" t="n"/>
      <c r="M299" s="23" t="n"/>
      <c r="N299" s="23" t="n"/>
    </row>
    <row r="300">
      <c r="A300" s="23" t="n"/>
      <c r="B300" s="23" t="n"/>
      <c r="C300" s="24" t="n"/>
      <c r="D300" s="23" t="n"/>
      <c r="E300" s="23" t="n"/>
      <c r="F300" s="23" t="n"/>
      <c r="G300" s="23" t="n"/>
      <c r="H300" s="25" t="n"/>
      <c r="I300" s="26" t="n"/>
      <c r="J300" s="27">
        <f>IF(N(H300)=0,"",IF(M300="SI",0,ROUND(H300*I300,2)))</f>
        <v/>
      </c>
      <c r="K300" s="27">
        <f>IF(N(H300)=0,"",H300+N(J300))</f>
        <v/>
      </c>
      <c r="L300" s="23" t="n"/>
      <c r="M300" s="23" t="n"/>
      <c r="N300" s="23" t="n"/>
    </row>
    <row r="301">
      <c r="A301" s="23" t="n"/>
      <c r="B301" s="23" t="n"/>
      <c r="C301" s="24" t="n"/>
      <c r="D301" s="23" t="n"/>
      <c r="E301" s="23" t="n"/>
      <c r="F301" s="23" t="n"/>
      <c r="G301" s="23" t="n"/>
      <c r="H301" s="25" t="n"/>
      <c r="I301" s="26" t="n"/>
      <c r="J301" s="27">
        <f>IF(N(H301)=0,"",IF(M301="SI",0,ROUND(H301*I301,2)))</f>
        <v/>
      </c>
      <c r="K301" s="27">
        <f>IF(N(H301)=0,"",H301+N(J301))</f>
        <v/>
      </c>
      <c r="L301" s="23" t="n"/>
      <c r="M301" s="23" t="n"/>
      <c r="N301" s="23" t="n"/>
    </row>
    <row r="302">
      <c r="A302" s="23" t="n"/>
      <c r="B302" s="23" t="n"/>
      <c r="C302" s="24" t="n"/>
      <c r="D302" s="23" t="n"/>
      <c r="E302" s="23" t="n"/>
      <c r="F302" s="23" t="n"/>
      <c r="G302" s="23" t="n"/>
      <c r="H302" s="25" t="n"/>
      <c r="I302" s="26" t="n"/>
      <c r="J302" s="27">
        <f>IF(N(H302)=0,"",IF(M302="SI",0,ROUND(H302*I302,2)))</f>
        <v/>
      </c>
      <c r="K302" s="27">
        <f>IF(N(H302)=0,"",H302+N(J302))</f>
        <v/>
      </c>
      <c r="L302" s="23" t="n"/>
      <c r="M302" s="23" t="n"/>
      <c r="N302" s="23" t="n"/>
    </row>
    <row r="303">
      <c r="A303" s="23" t="n"/>
      <c r="B303" s="23" t="n"/>
      <c r="C303" s="24" t="n"/>
      <c r="D303" s="23" t="n"/>
      <c r="E303" s="23" t="n"/>
      <c r="F303" s="23" t="n"/>
      <c r="G303" s="23" t="n"/>
      <c r="H303" s="25" t="n"/>
      <c r="I303" s="26" t="n"/>
      <c r="J303" s="27">
        <f>IF(N(H303)=0,"",IF(M303="SI",0,ROUND(H303*I303,2)))</f>
        <v/>
      </c>
      <c r="K303" s="27">
        <f>IF(N(H303)=0,"",H303+N(J303))</f>
        <v/>
      </c>
      <c r="L303" s="23" t="n"/>
      <c r="M303" s="23" t="n"/>
      <c r="N303" s="23" t="n"/>
    </row>
    <row r="304">
      <c r="A304" s="23" t="n"/>
      <c r="B304" s="23" t="n"/>
      <c r="C304" s="24" t="n"/>
      <c r="D304" s="23" t="n"/>
      <c r="E304" s="23" t="n"/>
      <c r="F304" s="23" t="n"/>
      <c r="G304" s="23" t="n"/>
      <c r="H304" s="25" t="n"/>
      <c r="I304" s="26" t="n"/>
      <c r="J304" s="27">
        <f>IF(N(H304)=0,"",IF(M304="SI",0,ROUND(H304*I304,2)))</f>
        <v/>
      </c>
      <c r="K304" s="27">
        <f>IF(N(H304)=0,"",H304+N(J304))</f>
        <v/>
      </c>
      <c r="L304" s="23" t="n"/>
      <c r="M304" s="23" t="n"/>
      <c r="N304" s="23" t="n"/>
    </row>
    <row r="305">
      <c r="A305" s="23" t="n"/>
      <c r="B305" s="23" t="n"/>
      <c r="C305" s="24" t="n"/>
      <c r="D305" s="23" t="n"/>
      <c r="E305" s="23" t="n"/>
      <c r="F305" s="23" t="n"/>
      <c r="G305" s="23" t="n"/>
      <c r="H305" s="25" t="n"/>
      <c r="I305" s="26" t="n"/>
      <c r="J305" s="27">
        <f>IF(N(H305)=0,"",IF(M305="SI",0,ROUND(H305*I305,2)))</f>
        <v/>
      </c>
      <c r="K305" s="27">
        <f>IF(N(H305)=0,"",H305+N(J305))</f>
        <v/>
      </c>
      <c r="L305" s="23" t="n"/>
      <c r="M305" s="23" t="n"/>
      <c r="N305" s="23" t="n"/>
    </row>
    <row r="306">
      <c r="A306" s="23" t="n"/>
      <c r="B306" s="23" t="n"/>
      <c r="C306" s="24" t="n"/>
      <c r="D306" s="23" t="n"/>
      <c r="E306" s="23" t="n"/>
      <c r="F306" s="23" t="n"/>
      <c r="G306" s="23" t="n"/>
      <c r="H306" s="25" t="n"/>
      <c r="I306" s="26" t="n"/>
      <c r="J306" s="27">
        <f>IF(N(H306)=0,"",IF(M306="SI",0,ROUND(H306*I306,2)))</f>
        <v/>
      </c>
      <c r="K306" s="27">
        <f>IF(N(H306)=0,"",H306+N(J306))</f>
        <v/>
      </c>
      <c r="L306" s="23" t="n"/>
      <c r="M306" s="23" t="n"/>
      <c r="N306" s="23" t="n"/>
    </row>
    <row r="307">
      <c r="A307" s="23" t="n"/>
      <c r="B307" s="23" t="n"/>
      <c r="C307" s="24" t="n"/>
      <c r="D307" s="23" t="n"/>
      <c r="E307" s="23" t="n"/>
      <c r="F307" s="23" t="n"/>
      <c r="G307" s="23" t="n"/>
      <c r="H307" s="25" t="n"/>
      <c r="I307" s="26" t="n"/>
      <c r="J307" s="27">
        <f>IF(N(H307)=0,"",IF(M307="SI",0,ROUND(H307*I307,2)))</f>
        <v/>
      </c>
      <c r="K307" s="27">
        <f>IF(N(H307)=0,"",H307+N(J307))</f>
        <v/>
      </c>
      <c r="L307" s="23" t="n"/>
      <c r="M307" s="23" t="n"/>
      <c r="N307" s="23" t="n"/>
    </row>
    <row r="308">
      <c r="A308" s="23" t="n"/>
      <c r="B308" s="23" t="n"/>
      <c r="C308" s="24" t="n"/>
      <c r="D308" s="23" t="n"/>
      <c r="E308" s="23" t="n"/>
      <c r="F308" s="23" t="n"/>
      <c r="G308" s="23" t="n"/>
      <c r="H308" s="25" t="n"/>
      <c r="I308" s="26" t="n"/>
      <c r="J308" s="27">
        <f>IF(N(H308)=0,"",IF(M308="SI",0,ROUND(H308*I308,2)))</f>
        <v/>
      </c>
      <c r="K308" s="27">
        <f>IF(N(H308)=0,"",H308+N(J308))</f>
        <v/>
      </c>
      <c r="L308" s="23" t="n"/>
      <c r="M308" s="23" t="n"/>
      <c r="N308" s="23" t="n"/>
    </row>
    <row r="309">
      <c r="A309" s="23" t="n"/>
      <c r="B309" s="23" t="n"/>
      <c r="C309" s="24" t="n"/>
      <c r="D309" s="23" t="n"/>
      <c r="E309" s="23" t="n"/>
      <c r="F309" s="23" t="n"/>
      <c r="G309" s="23" t="n"/>
      <c r="H309" s="25" t="n"/>
      <c r="I309" s="26" t="n"/>
      <c r="J309" s="27">
        <f>IF(N(H309)=0,"",IF(M309="SI",0,ROUND(H309*I309,2)))</f>
        <v/>
      </c>
      <c r="K309" s="27">
        <f>IF(N(H309)=0,"",H309+N(J309))</f>
        <v/>
      </c>
      <c r="L309" s="23" t="n"/>
      <c r="M309" s="23" t="n"/>
      <c r="N309" s="23" t="n"/>
    </row>
    <row r="310">
      <c r="A310" s="23" t="n"/>
      <c r="B310" s="23" t="n"/>
      <c r="C310" s="24" t="n"/>
      <c r="D310" s="23" t="n"/>
      <c r="E310" s="23" t="n"/>
      <c r="F310" s="23" t="n"/>
      <c r="G310" s="23" t="n"/>
      <c r="H310" s="25" t="n"/>
      <c r="I310" s="26" t="n"/>
      <c r="J310" s="27">
        <f>IF(N(H310)=0,"",IF(M310="SI",0,ROUND(H310*I310,2)))</f>
        <v/>
      </c>
      <c r="K310" s="27">
        <f>IF(N(H310)=0,"",H310+N(J310))</f>
        <v/>
      </c>
      <c r="L310" s="23" t="n"/>
      <c r="M310" s="23" t="n"/>
      <c r="N310" s="23" t="n"/>
    </row>
    <row r="311">
      <c r="A311" s="23" t="n"/>
      <c r="B311" s="23" t="n"/>
      <c r="C311" s="24" t="n"/>
      <c r="D311" s="23" t="n"/>
      <c r="E311" s="23" t="n"/>
      <c r="F311" s="23" t="n"/>
      <c r="G311" s="23" t="n"/>
      <c r="H311" s="25" t="n"/>
      <c r="I311" s="26" t="n"/>
      <c r="J311" s="27">
        <f>IF(N(H311)=0,"",IF(M311="SI",0,ROUND(H311*I311,2)))</f>
        <v/>
      </c>
      <c r="K311" s="27">
        <f>IF(N(H311)=0,"",H311+N(J311))</f>
        <v/>
      </c>
      <c r="L311" s="23" t="n"/>
      <c r="M311" s="23" t="n"/>
      <c r="N311" s="23" t="n"/>
    </row>
    <row r="312">
      <c r="A312" s="23" t="n"/>
      <c r="B312" s="23" t="n"/>
      <c r="C312" s="24" t="n"/>
      <c r="D312" s="23" t="n"/>
      <c r="E312" s="23" t="n"/>
      <c r="F312" s="23" t="n"/>
      <c r="G312" s="23" t="n"/>
      <c r="H312" s="25" t="n"/>
      <c r="I312" s="26" t="n"/>
      <c r="J312" s="27">
        <f>IF(N(H312)=0,"",IF(M312="SI",0,ROUND(H312*I312,2)))</f>
        <v/>
      </c>
      <c r="K312" s="27">
        <f>IF(N(H312)=0,"",H312+N(J312))</f>
        <v/>
      </c>
      <c r="L312" s="23" t="n"/>
      <c r="M312" s="23" t="n"/>
      <c r="N312" s="23" t="n"/>
    </row>
    <row r="313">
      <c r="A313" s="23" t="n"/>
      <c r="B313" s="23" t="n"/>
      <c r="C313" s="24" t="n"/>
      <c r="D313" s="23" t="n"/>
      <c r="E313" s="23" t="n"/>
      <c r="F313" s="23" t="n"/>
      <c r="G313" s="23" t="n"/>
      <c r="H313" s="25" t="n"/>
      <c r="I313" s="26" t="n"/>
      <c r="J313" s="27">
        <f>IF(N(H313)=0,"",IF(M313="SI",0,ROUND(H313*I313,2)))</f>
        <v/>
      </c>
      <c r="K313" s="27">
        <f>IF(N(H313)=0,"",H313+N(J313))</f>
        <v/>
      </c>
      <c r="L313" s="23" t="n"/>
      <c r="M313" s="23" t="n"/>
      <c r="N313" s="23" t="n"/>
    </row>
    <row r="314">
      <c r="A314" s="23" t="n"/>
      <c r="B314" s="23" t="n"/>
      <c r="C314" s="24" t="n"/>
      <c r="D314" s="23" t="n"/>
      <c r="E314" s="23" t="n"/>
      <c r="F314" s="23" t="n"/>
      <c r="G314" s="23" t="n"/>
      <c r="H314" s="25" t="n"/>
      <c r="I314" s="26" t="n"/>
      <c r="J314" s="27">
        <f>IF(N(H314)=0,"",IF(M314="SI",0,ROUND(H314*I314,2)))</f>
        <v/>
      </c>
      <c r="K314" s="27">
        <f>IF(N(H314)=0,"",H314+N(J314))</f>
        <v/>
      </c>
      <c r="L314" s="23" t="n"/>
      <c r="M314" s="23" t="n"/>
      <c r="N314" s="23" t="n"/>
    </row>
    <row r="315">
      <c r="A315" s="23" t="n"/>
      <c r="B315" s="23" t="n"/>
      <c r="C315" s="24" t="n"/>
      <c r="D315" s="23" t="n"/>
      <c r="E315" s="23" t="n"/>
      <c r="F315" s="23" t="n"/>
      <c r="G315" s="23" t="n"/>
      <c r="H315" s="25" t="n"/>
      <c r="I315" s="26" t="n"/>
      <c r="J315" s="27">
        <f>IF(N(H315)=0,"",IF(M315="SI",0,ROUND(H315*I315,2)))</f>
        <v/>
      </c>
      <c r="K315" s="27">
        <f>IF(N(H315)=0,"",H315+N(J315))</f>
        <v/>
      </c>
      <c r="L315" s="23" t="n"/>
      <c r="M315" s="23" t="n"/>
      <c r="N315" s="23" t="n"/>
    </row>
    <row r="316">
      <c r="A316" s="23" t="n"/>
      <c r="B316" s="23" t="n"/>
      <c r="C316" s="24" t="n"/>
      <c r="D316" s="23" t="n"/>
      <c r="E316" s="23" t="n"/>
      <c r="F316" s="23" t="n"/>
      <c r="G316" s="23" t="n"/>
      <c r="H316" s="25" t="n"/>
      <c r="I316" s="26" t="n"/>
      <c r="J316" s="27">
        <f>IF(N(H316)=0,"",IF(M316="SI",0,ROUND(H316*I316,2)))</f>
        <v/>
      </c>
      <c r="K316" s="27">
        <f>IF(N(H316)=0,"",H316+N(J316))</f>
        <v/>
      </c>
      <c r="L316" s="23" t="n"/>
      <c r="M316" s="23" t="n"/>
      <c r="N316" s="23" t="n"/>
    </row>
    <row r="317">
      <c r="A317" s="23" t="n"/>
      <c r="B317" s="23" t="n"/>
      <c r="C317" s="24" t="n"/>
      <c r="D317" s="23" t="n"/>
      <c r="E317" s="23" t="n"/>
      <c r="F317" s="23" t="n"/>
      <c r="G317" s="23" t="n"/>
      <c r="H317" s="25" t="n"/>
      <c r="I317" s="26" t="n"/>
      <c r="J317" s="27">
        <f>IF(N(H317)=0,"",IF(M317="SI",0,ROUND(H317*I317,2)))</f>
        <v/>
      </c>
      <c r="K317" s="27">
        <f>IF(N(H317)=0,"",H317+N(J317))</f>
        <v/>
      </c>
      <c r="L317" s="23" t="n"/>
      <c r="M317" s="23" t="n"/>
      <c r="N317" s="23" t="n"/>
    </row>
    <row r="318">
      <c r="A318" s="23" t="n"/>
      <c r="B318" s="23" t="n"/>
      <c r="C318" s="24" t="n"/>
      <c r="D318" s="23" t="n"/>
      <c r="E318" s="23" t="n"/>
      <c r="F318" s="23" t="n"/>
      <c r="G318" s="23" t="n"/>
      <c r="H318" s="25" t="n"/>
      <c r="I318" s="26" t="n"/>
      <c r="J318" s="27">
        <f>IF(N(H318)=0,"",IF(M318="SI",0,ROUND(H318*I318,2)))</f>
        <v/>
      </c>
      <c r="K318" s="27">
        <f>IF(N(H318)=0,"",H318+N(J318))</f>
        <v/>
      </c>
      <c r="L318" s="23" t="n"/>
      <c r="M318" s="23" t="n"/>
      <c r="N318" s="23" t="n"/>
    </row>
    <row r="319">
      <c r="A319" s="23" t="n"/>
      <c r="B319" s="23" t="n"/>
      <c r="C319" s="24" t="n"/>
      <c r="D319" s="23" t="n"/>
      <c r="E319" s="23" t="n"/>
      <c r="F319" s="23" t="n"/>
      <c r="G319" s="23" t="n"/>
      <c r="H319" s="25" t="n"/>
      <c r="I319" s="26" t="n"/>
      <c r="J319" s="27">
        <f>IF(N(H319)=0,"",IF(M319="SI",0,ROUND(H319*I319,2)))</f>
        <v/>
      </c>
      <c r="K319" s="27">
        <f>IF(N(H319)=0,"",H319+N(J319))</f>
        <v/>
      </c>
      <c r="L319" s="23" t="n"/>
      <c r="M319" s="23" t="n"/>
      <c r="N319" s="23" t="n"/>
    </row>
    <row r="320">
      <c r="A320" s="23" t="n"/>
      <c r="B320" s="23" t="n"/>
      <c r="C320" s="24" t="n"/>
      <c r="D320" s="23" t="n"/>
      <c r="E320" s="23" t="n"/>
      <c r="F320" s="23" t="n"/>
      <c r="G320" s="23" t="n"/>
      <c r="H320" s="25" t="n"/>
      <c r="I320" s="26" t="n"/>
      <c r="J320" s="27">
        <f>IF(N(H320)=0,"",IF(M320="SI",0,ROUND(H320*I320,2)))</f>
        <v/>
      </c>
      <c r="K320" s="27">
        <f>IF(N(H320)=0,"",H320+N(J320))</f>
        <v/>
      </c>
      <c r="L320" s="23" t="n"/>
      <c r="M320" s="23" t="n"/>
      <c r="N320" s="23" t="n"/>
    </row>
    <row r="321">
      <c r="A321" s="23" t="n"/>
      <c r="B321" s="23" t="n"/>
      <c r="C321" s="24" t="n"/>
      <c r="D321" s="23" t="n"/>
      <c r="E321" s="23" t="n"/>
      <c r="F321" s="23" t="n"/>
      <c r="G321" s="23" t="n"/>
      <c r="H321" s="25" t="n"/>
      <c r="I321" s="26" t="n"/>
      <c r="J321" s="27">
        <f>IF(N(H321)=0,"",IF(M321="SI",0,ROUND(H321*I321,2)))</f>
        <v/>
      </c>
      <c r="K321" s="27">
        <f>IF(N(H321)=0,"",H321+N(J321))</f>
        <v/>
      </c>
      <c r="L321" s="23" t="n"/>
      <c r="M321" s="23" t="n"/>
      <c r="N321" s="23" t="n"/>
    </row>
    <row r="322">
      <c r="A322" s="23" t="n"/>
      <c r="B322" s="23" t="n"/>
      <c r="C322" s="24" t="n"/>
      <c r="D322" s="23" t="n"/>
      <c r="E322" s="23" t="n"/>
      <c r="F322" s="23" t="n"/>
      <c r="G322" s="23" t="n"/>
      <c r="H322" s="25" t="n"/>
      <c r="I322" s="26" t="n"/>
      <c r="J322" s="27">
        <f>IF(N(H322)=0,"",IF(M322="SI",0,ROUND(H322*I322,2)))</f>
        <v/>
      </c>
      <c r="K322" s="27">
        <f>IF(N(H322)=0,"",H322+N(J322))</f>
        <v/>
      </c>
      <c r="L322" s="23" t="n"/>
      <c r="M322" s="23" t="n"/>
      <c r="N322" s="23" t="n"/>
    </row>
    <row r="323">
      <c r="A323" s="23" t="n"/>
      <c r="B323" s="23" t="n"/>
      <c r="C323" s="24" t="n"/>
      <c r="D323" s="23" t="n"/>
      <c r="E323" s="23" t="n"/>
      <c r="F323" s="23" t="n"/>
      <c r="G323" s="23" t="n"/>
      <c r="H323" s="25" t="n"/>
      <c r="I323" s="26" t="n"/>
      <c r="J323" s="27">
        <f>IF(N(H323)=0,"",IF(M323="SI",0,ROUND(H323*I323,2)))</f>
        <v/>
      </c>
      <c r="K323" s="27">
        <f>IF(N(H323)=0,"",H323+N(J323))</f>
        <v/>
      </c>
      <c r="L323" s="23" t="n"/>
      <c r="M323" s="23" t="n"/>
      <c r="N323" s="23" t="n"/>
    </row>
    <row r="324">
      <c r="A324" s="23" t="n"/>
      <c r="B324" s="23" t="n"/>
      <c r="C324" s="24" t="n"/>
      <c r="D324" s="23" t="n"/>
      <c r="E324" s="23" t="n"/>
      <c r="F324" s="23" t="n"/>
      <c r="G324" s="23" t="n"/>
      <c r="H324" s="25" t="n"/>
      <c r="I324" s="26" t="n"/>
      <c r="J324" s="27">
        <f>IF(N(H324)=0,"",IF(M324="SI",0,ROUND(H324*I324,2)))</f>
        <v/>
      </c>
      <c r="K324" s="27">
        <f>IF(N(H324)=0,"",H324+N(J324))</f>
        <v/>
      </c>
      <c r="L324" s="23" t="n"/>
      <c r="M324" s="23" t="n"/>
      <c r="N324" s="23" t="n"/>
    </row>
    <row r="325">
      <c r="A325" s="23" t="n"/>
      <c r="B325" s="23" t="n"/>
      <c r="C325" s="24" t="n"/>
      <c r="D325" s="23" t="n"/>
      <c r="E325" s="23" t="n"/>
      <c r="F325" s="23" t="n"/>
      <c r="G325" s="23" t="n"/>
      <c r="H325" s="25" t="n"/>
      <c r="I325" s="26" t="n"/>
      <c r="J325" s="27">
        <f>IF(N(H325)=0,"",IF(M325="SI",0,ROUND(H325*I325,2)))</f>
        <v/>
      </c>
      <c r="K325" s="27">
        <f>IF(N(H325)=0,"",H325+N(J325))</f>
        <v/>
      </c>
      <c r="L325" s="23" t="n"/>
      <c r="M325" s="23" t="n"/>
      <c r="N325" s="23" t="n"/>
    </row>
    <row r="326">
      <c r="A326" s="23" t="n"/>
      <c r="B326" s="23" t="n"/>
      <c r="C326" s="24" t="n"/>
      <c r="D326" s="23" t="n"/>
      <c r="E326" s="23" t="n"/>
      <c r="F326" s="23" t="n"/>
      <c r="G326" s="23" t="n"/>
      <c r="H326" s="25" t="n"/>
      <c r="I326" s="26" t="n"/>
      <c r="J326" s="27">
        <f>IF(N(H326)=0,"",IF(M326="SI",0,ROUND(H326*I326,2)))</f>
        <v/>
      </c>
      <c r="K326" s="27">
        <f>IF(N(H326)=0,"",H326+N(J326))</f>
        <v/>
      </c>
      <c r="L326" s="23" t="n"/>
      <c r="M326" s="23" t="n"/>
      <c r="N326" s="23" t="n"/>
    </row>
    <row r="327">
      <c r="A327" s="23" t="n"/>
      <c r="B327" s="23" t="n"/>
      <c r="C327" s="24" t="n"/>
      <c r="D327" s="23" t="n"/>
      <c r="E327" s="23" t="n"/>
      <c r="F327" s="23" t="n"/>
      <c r="G327" s="23" t="n"/>
      <c r="H327" s="25" t="n"/>
      <c r="I327" s="26" t="n"/>
      <c r="J327" s="27">
        <f>IF(N(H327)=0,"",IF(M327="SI",0,ROUND(H327*I327,2)))</f>
        <v/>
      </c>
      <c r="K327" s="27">
        <f>IF(N(H327)=0,"",H327+N(J327))</f>
        <v/>
      </c>
      <c r="L327" s="23" t="n"/>
      <c r="M327" s="23" t="n"/>
      <c r="N327" s="23" t="n"/>
    </row>
    <row r="328">
      <c r="A328" s="23" t="n"/>
      <c r="B328" s="23" t="n"/>
      <c r="C328" s="24" t="n"/>
      <c r="D328" s="23" t="n"/>
      <c r="E328" s="23" t="n"/>
      <c r="F328" s="23" t="n"/>
      <c r="G328" s="23" t="n"/>
      <c r="H328" s="25" t="n"/>
      <c r="I328" s="26" t="n"/>
      <c r="J328" s="27">
        <f>IF(N(H328)=0,"",IF(M328="SI",0,ROUND(H328*I328,2)))</f>
        <v/>
      </c>
      <c r="K328" s="27">
        <f>IF(N(H328)=0,"",H328+N(J328))</f>
        <v/>
      </c>
      <c r="L328" s="23" t="n"/>
      <c r="M328" s="23" t="n"/>
      <c r="N328" s="23" t="n"/>
    </row>
    <row r="329">
      <c r="A329" s="23" t="n"/>
      <c r="B329" s="23" t="n"/>
      <c r="C329" s="24" t="n"/>
      <c r="D329" s="23" t="n"/>
      <c r="E329" s="23" t="n"/>
      <c r="F329" s="23" t="n"/>
      <c r="G329" s="23" t="n"/>
      <c r="H329" s="25" t="n"/>
      <c r="I329" s="26" t="n"/>
      <c r="J329" s="27">
        <f>IF(N(H329)=0,"",IF(M329="SI",0,ROUND(H329*I329,2)))</f>
        <v/>
      </c>
      <c r="K329" s="27">
        <f>IF(N(H329)=0,"",H329+N(J329))</f>
        <v/>
      </c>
      <c r="L329" s="23" t="n"/>
      <c r="M329" s="23" t="n"/>
      <c r="N329" s="23" t="n"/>
    </row>
    <row r="330">
      <c r="A330" s="23" t="n"/>
      <c r="B330" s="23" t="n"/>
      <c r="C330" s="24" t="n"/>
      <c r="D330" s="23" t="n"/>
      <c r="E330" s="23" t="n"/>
      <c r="F330" s="23" t="n"/>
      <c r="G330" s="23" t="n"/>
      <c r="H330" s="25" t="n"/>
      <c r="I330" s="26" t="n"/>
      <c r="J330" s="27">
        <f>IF(N(H330)=0,"",IF(M330="SI",0,ROUND(H330*I330,2)))</f>
        <v/>
      </c>
      <c r="K330" s="27">
        <f>IF(N(H330)=0,"",H330+N(J330))</f>
        <v/>
      </c>
      <c r="L330" s="23" t="n"/>
      <c r="M330" s="23" t="n"/>
      <c r="N330" s="23" t="n"/>
    </row>
    <row r="331">
      <c r="A331" s="23" t="n"/>
      <c r="B331" s="23" t="n"/>
      <c r="C331" s="24" t="n"/>
      <c r="D331" s="23" t="n"/>
      <c r="E331" s="23" t="n"/>
      <c r="F331" s="23" t="n"/>
      <c r="G331" s="23" t="n"/>
      <c r="H331" s="25" t="n"/>
      <c r="I331" s="26" t="n"/>
      <c r="J331" s="27">
        <f>IF(N(H331)=0,"",IF(M331="SI",0,ROUND(H331*I331,2)))</f>
        <v/>
      </c>
      <c r="K331" s="27">
        <f>IF(N(H331)=0,"",H331+N(J331))</f>
        <v/>
      </c>
      <c r="L331" s="23" t="n"/>
      <c r="M331" s="23" t="n"/>
      <c r="N331" s="23" t="n"/>
    </row>
    <row r="332">
      <c r="A332" s="23" t="n"/>
      <c r="B332" s="23" t="n"/>
      <c r="C332" s="24" t="n"/>
      <c r="D332" s="23" t="n"/>
      <c r="E332" s="23" t="n"/>
      <c r="F332" s="23" t="n"/>
      <c r="G332" s="23" t="n"/>
      <c r="H332" s="25" t="n"/>
      <c r="I332" s="26" t="n"/>
      <c r="J332" s="27">
        <f>IF(N(H332)=0,"",IF(M332="SI",0,ROUND(H332*I332,2)))</f>
        <v/>
      </c>
      <c r="K332" s="27">
        <f>IF(N(H332)=0,"",H332+N(J332))</f>
        <v/>
      </c>
      <c r="L332" s="23" t="n"/>
      <c r="M332" s="23" t="n"/>
      <c r="N332" s="23" t="n"/>
    </row>
    <row r="333">
      <c r="A333" s="23" t="n"/>
      <c r="B333" s="23" t="n"/>
      <c r="C333" s="24" t="n"/>
      <c r="D333" s="23" t="n"/>
      <c r="E333" s="23" t="n"/>
      <c r="F333" s="23" t="n"/>
      <c r="G333" s="23" t="n"/>
      <c r="H333" s="25" t="n"/>
      <c r="I333" s="26" t="n"/>
      <c r="J333" s="27">
        <f>IF(N(H333)=0,"",IF(M333="SI",0,ROUND(H333*I333,2)))</f>
        <v/>
      </c>
      <c r="K333" s="27">
        <f>IF(N(H333)=0,"",H333+N(J333))</f>
        <v/>
      </c>
      <c r="L333" s="23" t="n"/>
      <c r="M333" s="23" t="n"/>
      <c r="N333" s="23" t="n"/>
    </row>
    <row r="334">
      <c r="A334" s="23" t="n"/>
      <c r="B334" s="23" t="n"/>
      <c r="C334" s="24" t="n"/>
      <c r="D334" s="23" t="n"/>
      <c r="E334" s="23" t="n"/>
      <c r="F334" s="23" t="n"/>
      <c r="G334" s="23" t="n"/>
      <c r="H334" s="25" t="n"/>
      <c r="I334" s="26" t="n"/>
      <c r="J334" s="27">
        <f>IF(N(H334)=0,"",IF(M334="SI",0,ROUND(H334*I334,2)))</f>
        <v/>
      </c>
      <c r="K334" s="27">
        <f>IF(N(H334)=0,"",H334+N(J334))</f>
        <v/>
      </c>
      <c r="L334" s="23" t="n"/>
      <c r="M334" s="23" t="n"/>
      <c r="N334" s="23" t="n"/>
    </row>
    <row r="335">
      <c r="A335" s="23" t="n"/>
      <c r="B335" s="23" t="n"/>
      <c r="C335" s="24" t="n"/>
      <c r="D335" s="23" t="n"/>
      <c r="E335" s="23" t="n"/>
      <c r="F335" s="23" t="n"/>
      <c r="G335" s="23" t="n"/>
      <c r="H335" s="25" t="n"/>
      <c r="I335" s="26" t="n"/>
      <c r="J335" s="27">
        <f>IF(N(H335)=0,"",IF(M335="SI",0,ROUND(H335*I335,2)))</f>
        <v/>
      </c>
      <c r="K335" s="27">
        <f>IF(N(H335)=0,"",H335+N(J335))</f>
        <v/>
      </c>
      <c r="L335" s="23" t="n"/>
      <c r="M335" s="23" t="n"/>
      <c r="N335" s="23" t="n"/>
    </row>
    <row r="336">
      <c r="A336" s="23" t="n"/>
      <c r="B336" s="23" t="n"/>
      <c r="C336" s="24" t="n"/>
      <c r="D336" s="23" t="n"/>
      <c r="E336" s="23" t="n"/>
      <c r="F336" s="23" t="n"/>
      <c r="G336" s="23" t="n"/>
      <c r="H336" s="25" t="n"/>
      <c r="I336" s="26" t="n"/>
      <c r="J336" s="27">
        <f>IF(N(H336)=0,"",IF(M336="SI",0,ROUND(H336*I336,2)))</f>
        <v/>
      </c>
      <c r="K336" s="27">
        <f>IF(N(H336)=0,"",H336+N(J336))</f>
        <v/>
      </c>
      <c r="L336" s="23" t="n"/>
      <c r="M336" s="23" t="n"/>
      <c r="N336" s="23" t="n"/>
    </row>
    <row r="337">
      <c r="A337" s="23" t="n"/>
      <c r="B337" s="23" t="n"/>
      <c r="C337" s="24" t="n"/>
      <c r="D337" s="23" t="n"/>
      <c r="E337" s="23" t="n"/>
      <c r="F337" s="23" t="n"/>
      <c r="G337" s="23" t="n"/>
      <c r="H337" s="25" t="n"/>
      <c r="I337" s="26" t="n"/>
      <c r="J337" s="27">
        <f>IF(N(H337)=0,"",IF(M337="SI",0,ROUND(H337*I337,2)))</f>
        <v/>
      </c>
      <c r="K337" s="27">
        <f>IF(N(H337)=0,"",H337+N(J337))</f>
        <v/>
      </c>
      <c r="L337" s="23" t="n"/>
      <c r="M337" s="23" t="n"/>
      <c r="N337" s="23" t="n"/>
    </row>
    <row r="338">
      <c r="A338" s="23" t="n"/>
      <c r="B338" s="23" t="n"/>
      <c r="C338" s="24" t="n"/>
      <c r="D338" s="23" t="n"/>
      <c r="E338" s="23" t="n"/>
      <c r="F338" s="23" t="n"/>
      <c r="G338" s="23" t="n"/>
      <c r="H338" s="25" t="n"/>
      <c r="I338" s="26" t="n"/>
      <c r="J338" s="27">
        <f>IF(N(H338)=0,"",IF(M338="SI",0,ROUND(H338*I338,2)))</f>
        <v/>
      </c>
      <c r="K338" s="27">
        <f>IF(N(H338)=0,"",H338+N(J338))</f>
        <v/>
      </c>
      <c r="L338" s="23" t="n"/>
      <c r="M338" s="23" t="n"/>
      <c r="N338" s="23" t="n"/>
    </row>
    <row r="339">
      <c r="A339" s="23" t="n"/>
      <c r="B339" s="23" t="n"/>
      <c r="C339" s="24" t="n"/>
      <c r="D339" s="23" t="n"/>
      <c r="E339" s="23" t="n"/>
      <c r="F339" s="23" t="n"/>
      <c r="G339" s="23" t="n"/>
      <c r="H339" s="25" t="n"/>
      <c r="I339" s="26" t="n"/>
      <c r="J339" s="27">
        <f>IF(N(H339)=0,"",IF(M339="SI",0,ROUND(H339*I339,2)))</f>
        <v/>
      </c>
      <c r="K339" s="27">
        <f>IF(N(H339)=0,"",H339+N(J339))</f>
        <v/>
      </c>
      <c r="L339" s="23" t="n"/>
      <c r="M339" s="23" t="n"/>
      <c r="N339" s="23" t="n"/>
    </row>
    <row r="340">
      <c r="A340" s="23" t="n"/>
      <c r="B340" s="23" t="n"/>
      <c r="C340" s="24" t="n"/>
      <c r="D340" s="23" t="n"/>
      <c r="E340" s="23" t="n"/>
      <c r="F340" s="23" t="n"/>
      <c r="G340" s="23" t="n"/>
      <c r="H340" s="25" t="n"/>
      <c r="I340" s="26" t="n"/>
      <c r="J340" s="27">
        <f>IF(N(H340)=0,"",IF(M340="SI",0,ROUND(H340*I340,2)))</f>
        <v/>
      </c>
      <c r="K340" s="27">
        <f>IF(N(H340)=0,"",H340+N(J340))</f>
        <v/>
      </c>
      <c r="L340" s="23" t="n"/>
      <c r="M340" s="23" t="n"/>
      <c r="N340" s="23" t="n"/>
    </row>
    <row r="341">
      <c r="A341" s="23" t="n"/>
      <c r="B341" s="23" t="n"/>
      <c r="C341" s="24" t="n"/>
      <c r="D341" s="23" t="n"/>
      <c r="E341" s="23" t="n"/>
      <c r="F341" s="23" t="n"/>
      <c r="G341" s="23" t="n"/>
      <c r="H341" s="25" t="n"/>
      <c r="I341" s="26" t="n"/>
      <c r="J341" s="27">
        <f>IF(N(H341)=0,"",IF(M341="SI",0,ROUND(H341*I341,2)))</f>
        <v/>
      </c>
      <c r="K341" s="27">
        <f>IF(N(H341)=0,"",H341+N(J341))</f>
        <v/>
      </c>
      <c r="L341" s="23" t="n"/>
      <c r="M341" s="23" t="n"/>
      <c r="N341" s="23" t="n"/>
    </row>
    <row r="342">
      <c r="A342" s="23" t="n"/>
      <c r="B342" s="23" t="n"/>
      <c r="C342" s="24" t="n"/>
      <c r="D342" s="23" t="n"/>
      <c r="E342" s="23" t="n"/>
      <c r="F342" s="23" t="n"/>
      <c r="G342" s="23" t="n"/>
      <c r="H342" s="25" t="n"/>
      <c r="I342" s="26" t="n"/>
      <c r="J342" s="27">
        <f>IF(N(H342)=0,"",IF(M342="SI",0,ROUND(H342*I342,2)))</f>
        <v/>
      </c>
      <c r="K342" s="27">
        <f>IF(N(H342)=0,"",H342+N(J342))</f>
        <v/>
      </c>
      <c r="L342" s="23" t="n"/>
      <c r="M342" s="23" t="n"/>
      <c r="N342" s="23" t="n"/>
    </row>
    <row r="343">
      <c r="A343" s="23" t="n"/>
      <c r="B343" s="23" t="n"/>
      <c r="C343" s="24" t="n"/>
      <c r="D343" s="23" t="n"/>
      <c r="E343" s="23" t="n"/>
      <c r="F343" s="23" t="n"/>
      <c r="G343" s="23" t="n"/>
      <c r="H343" s="25" t="n"/>
      <c r="I343" s="26" t="n"/>
      <c r="J343" s="27">
        <f>IF(N(H343)=0,"",IF(M343="SI",0,ROUND(H343*I343,2)))</f>
        <v/>
      </c>
      <c r="K343" s="27">
        <f>IF(N(H343)=0,"",H343+N(J343))</f>
        <v/>
      </c>
      <c r="L343" s="23" t="n"/>
      <c r="M343" s="23" t="n"/>
      <c r="N343" s="23" t="n"/>
    </row>
    <row r="344">
      <c r="A344" s="23" t="n"/>
      <c r="B344" s="23" t="n"/>
      <c r="C344" s="24" t="n"/>
      <c r="D344" s="23" t="n"/>
      <c r="E344" s="23" t="n"/>
      <c r="F344" s="23" t="n"/>
      <c r="G344" s="23" t="n"/>
      <c r="H344" s="25" t="n"/>
      <c r="I344" s="26" t="n"/>
      <c r="J344" s="27">
        <f>IF(N(H344)=0,"",IF(M344="SI",0,ROUND(H344*I344,2)))</f>
        <v/>
      </c>
      <c r="K344" s="27">
        <f>IF(N(H344)=0,"",H344+N(J344))</f>
        <v/>
      </c>
      <c r="L344" s="23" t="n"/>
      <c r="M344" s="23" t="n"/>
      <c r="N344" s="23" t="n"/>
    </row>
    <row r="345">
      <c r="A345" s="23" t="n"/>
      <c r="B345" s="23" t="n"/>
      <c r="C345" s="24" t="n"/>
      <c r="D345" s="23" t="n"/>
      <c r="E345" s="23" t="n"/>
      <c r="F345" s="23" t="n"/>
      <c r="G345" s="23" t="n"/>
      <c r="H345" s="25" t="n"/>
      <c r="I345" s="26" t="n"/>
      <c r="J345" s="27">
        <f>IF(N(H345)=0,"",IF(M345="SI",0,ROUND(H345*I345,2)))</f>
        <v/>
      </c>
      <c r="K345" s="27">
        <f>IF(N(H345)=0,"",H345+N(J345))</f>
        <v/>
      </c>
      <c r="L345" s="23" t="n"/>
      <c r="M345" s="23" t="n"/>
      <c r="N345" s="23" t="n"/>
    </row>
    <row r="346">
      <c r="A346" s="23" t="n"/>
      <c r="B346" s="23" t="n"/>
      <c r="C346" s="24" t="n"/>
      <c r="D346" s="23" t="n"/>
      <c r="E346" s="23" t="n"/>
      <c r="F346" s="23" t="n"/>
      <c r="G346" s="23" t="n"/>
      <c r="H346" s="25" t="n"/>
      <c r="I346" s="26" t="n"/>
      <c r="J346" s="27">
        <f>IF(N(H346)=0,"",IF(M346="SI",0,ROUND(H346*I346,2)))</f>
        <v/>
      </c>
      <c r="K346" s="27">
        <f>IF(N(H346)=0,"",H346+N(J346))</f>
        <v/>
      </c>
      <c r="L346" s="23" t="n"/>
      <c r="M346" s="23" t="n"/>
      <c r="N346" s="23" t="n"/>
    </row>
    <row r="347">
      <c r="A347" s="23" t="n"/>
      <c r="B347" s="23" t="n"/>
      <c r="C347" s="24" t="n"/>
      <c r="D347" s="23" t="n"/>
      <c r="E347" s="23" t="n"/>
      <c r="F347" s="23" t="n"/>
      <c r="G347" s="23" t="n"/>
      <c r="H347" s="25" t="n"/>
      <c r="I347" s="26" t="n"/>
      <c r="J347" s="27">
        <f>IF(N(H347)=0,"",IF(M347="SI",0,ROUND(H347*I347,2)))</f>
        <v/>
      </c>
      <c r="K347" s="27">
        <f>IF(N(H347)=0,"",H347+N(J347))</f>
        <v/>
      </c>
      <c r="L347" s="23" t="n"/>
      <c r="M347" s="23" t="n"/>
      <c r="N347" s="23" t="n"/>
    </row>
    <row r="348">
      <c r="A348" s="23" t="n"/>
      <c r="B348" s="23" t="n"/>
      <c r="C348" s="24" t="n"/>
      <c r="D348" s="23" t="n"/>
      <c r="E348" s="23" t="n"/>
      <c r="F348" s="23" t="n"/>
      <c r="G348" s="23" t="n"/>
      <c r="H348" s="25" t="n"/>
      <c r="I348" s="26" t="n"/>
      <c r="J348" s="27">
        <f>IF(N(H348)=0,"",IF(M348="SI",0,ROUND(H348*I348,2)))</f>
        <v/>
      </c>
      <c r="K348" s="27">
        <f>IF(N(H348)=0,"",H348+N(J348))</f>
        <v/>
      </c>
      <c r="L348" s="23" t="n"/>
      <c r="M348" s="23" t="n"/>
      <c r="N348" s="23" t="n"/>
    </row>
    <row r="349">
      <c r="A349" s="23" t="n"/>
      <c r="B349" s="23" t="n"/>
      <c r="C349" s="24" t="n"/>
      <c r="D349" s="23" t="n"/>
      <c r="E349" s="23" t="n"/>
      <c r="F349" s="23" t="n"/>
      <c r="G349" s="23" t="n"/>
      <c r="H349" s="25" t="n"/>
      <c r="I349" s="26" t="n"/>
      <c r="J349" s="27">
        <f>IF(N(H349)=0,"",IF(M349="SI",0,ROUND(H349*I349,2)))</f>
        <v/>
      </c>
      <c r="K349" s="27">
        <f>IF(N(H349)=0,"",H349+N(J349))</f>
        <v/>
      </c>
      <c r="L349" s="23" t="n"/>
      <c r="M349" s="23" t="n"/>
      <c r="N349" s="23" t="n"/>
    </row>
    <row r="350">
      <c r="A350" s="23" t="n"/>
      <c r="B350" s="23" t="n"/>
      <c r="C350" s="24" t="n"/>
      <c r="D350" s="23" t="n"/>
      <c r="E350" s="23" t="n"/>
      <c r="F350" s="23" t="n"/>
      <c r="G350" s="23" t="n"/>
      <c r="H350" s="25" t="n"/>
      <c r="I350" s="26" t="n"/>
      <c r="J350" s="27">
        <f>IF(N(H350)=0,"",IF(M350="SI",0,ROUND(H350*I350,2)))</f>
        <v/>
      </c>
      <c r="K350" s="27">
        <f>IF(N(H350)=0,"",H350+N(J350))</f>
        <v/>
      </c>
      <c r="L350" s="23" t="n"/>
      <c r="M350" s="23" t="n"/>
      <c r="N350" s="23" t="n"/>
    </row>
    <row r="351">
      <c r="A351" s="23" t="n"/>
      <c r="B351" s="23" t="n"/>
      <c r="C351" s="24" t="n"/>
      <c r="D351" s="23" t="n"/>
      <c r="E351" s="23" t="n"/>
      <c r="F351" s="23" t="n"/>
      <c r="G351" s="23" t="n"/>
      <c r="H351" s="25" t="n"/>
      <c r="I351" s="26" t="n"/>
      <c r="J351" s="27">
        <f>IF(N(H351)=0,"",IF(M351="SI",0,ROUND(H351*I351,2)))</f>
        <v/>
      </c>
      <c r="K351" s="27">
        <f>IF(N(H351)=0,"",H351+N(J351))</f>
        <v/>
      </c>
      <c r="L351" s="23" t="n"/>
      <c r="M351" s="23" t="n"/>
      <c r="N351" s="23" t="n"/>
    </row>
    <row r="352">
      <c r="A352" s="23" t="n"/>
      <c r="B352" s="23" t="n"/>
      <c r="C352" s="24" t="n"/>
      <c r="D352" s="23" t="n"/>
      <c r="E352" s="23" t="n"/>
      <c r="F352" s="23" t="n"/>
      <c r="G352" s="23" t="n"/>
      <c r="H352" s="25" t="n"/>
      <c r="I352" s="26" t="n"/>
      <c r="J352" s="27">
        <f>IF(N(H352)=0,"",IF(M352="SI",0,ROUND(H352*I352,2)))</f>
        <v/>
      </c>
      <c r="K352" s="27">
        <f>IF(N(H352)=0,"",H352+N(J352))</f>
        <v/>
      </c>
      <c r="L352" s="23" t="n"/>
      <c r="M352" s="23" t="n"/>
      <c r="N352" s="23" t="n"/>
    </row>
    <row r="353">
      <c r="A353" s="23" t="n"/>
      <c r="B353" s="23" t="n"/>
      <c r="C353" s="24" t="n"/>
      <c r="D353" s="23" t="n"/>
      <c r="E353" s="23" t="n"/>
      <c r="F353" s="23" t="n"/>
      <c r="G353" s="23" t="n"/>
      <c r="H353" s="25" t="n"/>
      <c r="I353" s="26" t="n"/>
      <c r="J353" s="27">
        <f>IF(N(H353)=0,"",IF(M353="SI",0,ROUND(H353*I353,2)))</f>
        <v/>
      </c>
      <c r="K353" s="27">
        <f>IF(N(H353)=0,"",H353+N(J353))</f>
        <v/>
      </c>
      <c r="L353" s="23" t="n"/>
      <c r="M353" s="23" t="n"/>
      <c r="N353" s="23" t="n"/>
    </row>
    <row r="354">
      <c r="A354" s="23" t="n"/>
      <c r="B354" s="23" t="n"/>
      <c r="C354" s="24" t="n"/>
      <c r="D354" s="23" t="n"/>
      <c r="E354" s="23" t="n"/>
      <c r="F354" s="23" t="n"/>
      <c r="G354" s="23" t="n"/>
      <c r="H354" s="25" t="n"/>
      <c r="I354" s="26" t="n"/>
      <c r="J354" s="27">
        <f>IF(N(H354)=0,"",IF(M354="SI",0,ROUND(H354*I354,2)))</f>
        <v/>
      </c>
      <c r="K354" s="27">
        <f>IF(N(H354)=0,"",H354+N(J354))</f>
        <v/>
      </c>
      <c r="L354" s="23" t="n"/>
      <c r="M354" s="23" t="n"/>
      <c r="N354" s="23" t="n"/>
    </row>
    <row r="355">
      <c r="A355" s="23" t="n"/>
      <c r="B355" s="23" t="n"/>
      <c r="C355" s="24" t="n"/>
      <c r="D355" s="23" t="n"/>
      <c r="E355" s="23" t="n"/>
      <c r="F355" s="23" t="n"/>
      <c r="G355" s="23" t="n"/>
      <c r="H355" s="25" t="n"/>
      <c r="I355" s="26" t="n"/>
      <c r="J355" s="27">
        <f>IF(N(H355)=0,"",IF(M355="SI",0,ROUND(H355*I355,2)))</f>
        <v/>
      </c>
      <c r="K355" s="27">
        <f>IF(N(H355)=0,"",H355+N(J355))</f>
        <v/>
      </c>
      <c r="L355" s="23" t="n"/>
      <c r="M355" s="23" t="n"/>
      <c r="N355" s="23" t="n"/>
    </row>
    <row r="356">
      <c r="A356" s="23" t="n"/>
      <c r="B356" s="23" t="n"/>
      <c r="C356" s="24" t="n"/>
      <c r="D356" s="23" t="n"/>
      <c r="E356" s="23" t="n"/>
      <c r="F356" s="23" t="n"/>
      <c r="G356" s="23" t="n"/>
      <c r="H356" s="25" t="n"/>
      <c r="I356" s="26" t="n"/>
      <c r="J356" s="27">
        <f>IF(N(H356)=0,"",IF(M356="SI",0,ROUND(H356*I356,2)))</f>
        <v/>
      </c>
      <c r="K356" s="27">
        <f>IF(N(H356)=0,"",H356+N(J356))</f>
        <v/>
      </c>
      <c r="L356" s="23" t="n"/>
      <c r="M356" s="23" t="n"/>
      <c r="N356" s="23" t="n"/>
    </row>
    <row r="357">
      <c r="A357" s="23" t="n"/>
      <c r="B357" s="23" t="n"/>
      <c r="C357" s="24" t="n"/>
      <c r="D357" s="23" t="n"/>
      <c r="E357" s="23" t="n"/>
      <c r="F357" s="23" t="n"/>
      <c r="G357" s="23" t="n"/>
      <c r="H357" s="25" t="n"/>
      <c r="I357" s="26" t="n"/>
      <c r="J357" s="27">
        <f>IF(N(H357)=0,"",IF(M357="SI",0,ROUND(H357*I357,2)))</f>
        <v/>
      </c>
      <c r="K357" s="27">
        <f>IF(N(H357)=0,"",H357+N(J357))</f>
        <v/>
      </c>
      <c r="L357" s="23" t="n"/>
      <c r="M357" s="23" t="n"/>
      <c r="N357" s="23" t="n"/>
    </row>
    <row r="358">
      <c r="A358" s="23" t="n"/>
      <c r="B358" s="23" t="n"/>
      <c r="C358" s="24" t="n"/>
      <c r="D358" s="23" t="n"/>
      <c r="E358" s="23" t="n"/>
      <c r="F358" s="23" t="n"/>
      <c r="G358" s="23" t="n"/>
      <c r="H358" s="25" t="n"/>
      <c r="I358" s="26" t="n"/>
      <c r="J358" s="27">
        <f>IF(N(H358)=0,"",IF(M358="SI",0,ROUND(H358*I358,2)))</f>
        <v/>
      </c>
      <c r="K358" s="27">
        <f>IF(N(H358)=0,"",H358+N(J358))</f>
        <v/>
      </c>
      <c r="L358" s="23" t="n"/>
      <c r="M358" s="23" t="n"/>
      <c r="N358" s="23" t="n"/>
    </row>
    <row r="359">
      <c r="A359" s="23" t="n"/>
      <c r="B359" s="23" t="n"/>
      <c r="C359" s="24" t="n"/>
      <c r="D359" s="23" t="n"/>
      <c r="E359" s="23" t="n"/>
      <c r="F359" s="23" t="n"/>
      <c r="G359" s="23" t="n"/>
      <c r="H359" s="25" t="n"/>
      <c r="I359" s="26" t="n"/>
      <c r="J359" s="27">
        <f>IF(N(H359)=0,"",IF(M359="SI",0,ROUND(H359*I359,2)))</f>
        <v/>
      </c>
      <c r="K359" s="27">
        <f>IF(N(H359)=0,"",H359+N(J359))</f>
        <v/>
      </c>
      <c r="L359" s="23" t="n"/>
      <c r="M359" s="23" t="n"/>
      <c r="N359" s="23" t="n"/>
    </row>
    <row r="360">
      <c r="A360" s="23" t="n"/>
      <c r="B360" s="23" t="n"/>
      <c r="C360" s="24" t="n"/>
      <c r="D360" s="23" t="n"/>
      <c r="E360" s="23" t="n"/>
      <c r="F360" s="23" t="n"/>
      <c r="G360" s="23" t="n"/>
      <c r="H360" s="25" t="n"/>
      <c r="I360" s="26" t="n"/>
      <c r="J360" s="27">
        <f>IF(N(H360)=0,"",IF(M360="SI",0,ROUND(H360*I360,2)))</f>
        <v/>
      </c>
      <c r="K360" s="27">
        <f>IF(N(H360)=0,"",H360+N(J360))</f>
        <v/>
      </c>
      <c r="L360" s="23" t="n"/>
      <c r="M360" s="23" t="n"/>
      <c r="N360" s="23" t="n"/>
    </row>
    <row r="361">
      <c r="A361" s="23" t="n"/>
      <c r="B361" s="23" t="n"/>
      <c r="C361" s="24" t="n"/>
      <c r="D361" s="23" t="n"/>
      <c r="E361" s="23" t="n"/>
      <c r="F361" s="23" t="n"/>
      <c r="G361" s="23" t="n"/>
      <c r="H361" s="25" t="n"/>
      <c r="I361" s="26" t="n"/>
      <c r="J361" s="27">
        <f>IF(N(H361)=0,"",IF(M361="SI",0,ROUND(H361*I361,2)))</f>
        <v/>
      </c>
      <c r="K361" s="27">
        <f>IF(N(H361)=0,"",H361+N(J361))</f>
        <v/>
      </c>
      <c r="L361" s="23" t="n"/>
      <c r="M361" s="23" t="n"/>
      <c r="N361" s="23" t="n"/>
    </row>
    <row r="362">
      <c r="A362" s="23" t="n"/>
      <c r="B362" s="23" t="n"/>
      <c r="C362" s="24" t="n"/>
      <c r="D362" s="23" t="n"/>
      <c r="E362" s="23" t="n"/>
      <c r="F362" s="23" t="n"/>
      <c r="G362" s="23" t="n"/>
      <c r="H362" s="25" t="n"/>
      <c r="I362" s="26" t="n"/>
      <c r="J362" s="27">
        <f>IF(N(H362)=0,"",IF(M362="SI",0,ROUND(H362*I362,2)))</f>
        <v/>
      </c>
      <c r="K362" s="27">
        <f>IF(N(H362)=0,"",H362+N(J362))</f>
        <v/>
      </c>
      <c r="L362" s="23" t="n"/>
      <c r="M362" s="23" t="n"/>
      <c r="N362" s="23" t="n"/>
    </row>
    <row r="363">
      <c r="A363" s="23" t="n"/>
      <c r="B363" s="23" t="n"/>
      <c r="C363" s="24" t="n"/>
      <c r="D363" s="23" t="n"/>
      <c r="E363" s="23" t="n"/>
      <c r="F363" s="23" t="n"/>
      <c r="G363" s="23" t="n"/>
      <c r="H363" s="25" t="n"/>
      <c r="I363" s="26" t="n"/>
      <c r="J363" s="27">
        <f>IF(N(H363)=0,"",IF(M363="SI",0,ROUND(H363*I363,2)))</f>
        <v/>
      </c>
      <c r="K363" s="27">
        <f>IF(N(H363)=0,"",H363+N(J363))</f>
        <v/>
      </c>
      <c r="L363" s="23" t="n"/>
      <c r="M363" s="23" t="n"/>
      <c r="N363" s="23" t="n"/>
    </row>
    <row r="364">
      <c r="A364" s="23" t="n"/>
      <c r="B364" s="23" t="n"/>
      <c r="C364" s="24" t="n"/>
      <c r="D364" s="23" t="n"/>
      <c r="E364" s="23" t="n"/>
      <c r="F364" s="23" t="n"/>
      <c r="G364" s="23" t="n"/>
      <c r="H364" s="25" t="n"/>
      <c r="I364" s="26" t="n"/>
      <c r="J364" s="27">
        <f>IF(N(H364)=0,"",IF(M364="SI",0,ROUND(H364*I364,2)))</f>
        <v/>
      </c>
      <c r="K364" s="27">
        <f>IF(N(H364)=0,"",H364+N(J364))</f>
        <v/>
      </c>
      <c r="L364" s="23" t="n"/>
      <c r="M364" s="23" t="n"/>
      <c r="N364" s="23" t="n"/>
    </row>
    <row r="365">
      <c r="A365" s="23" t="n"/>
      <c r="B365" s="23" t="n"/>
      <c r="C365" s="24" t="n"/>
      <c r="D365" s="23" t="n"/>
      <c r="E365" s="23" t="n"/>
      <c r="F365" s="23" t="n"/>
      <c r="G365" s="23" t="n"/>
      <c r="H365" s="25" t="n"/>
      <c r="I365" s="26" t="n"/>
      <c r="J365" s="27">
        <f>IF(N(H365)=0,"",IF(M365="SI",0,ROUND(H365*I365,2)))</f>
        <v/>
      </c>
      <c r="K365" s="27">
        <f>IF(N(H365)=0,"",H365+N(J365))</f>
        <v/>
      </c>
      <c r="L365" s="23" t="n"/>
      <c r="M365" s="23" t="n"/>
      <c r="N365" s="23" t="n"/>
    </row>
    <row r="366">
      <c r="A366" s="23" t="n"/>
      <c r="B366" s="23" t="n"/>
      <c r="C366" s="24" t="n"/>
      <c r="D366" s="23" t="n"/>
      <c r="E366" s="23" t="n"/>
      <c r="F366" s="23" t="n"/>
      <c r="G366" s="23" t="n"/>
      <c r="H366" s="25" t="n"/>
      <c r="I366" s="26" t="n"/>
      <c r="J366" s="27">
        <f>IF(N(H366)=0,"",IF(M366="SI",0,ROUND(H366*I366,2)))</f>
        <v/>
      </c>
      <c r="K366" s="27">
        <f>IF(N(H366)=0,"",H366+N(J366))</f>
        <v/>
      </c>
      <c r="L366" s="23" t="n"/>
      <c r="M366" s="23" t="n"/>
      <c r="N366" s="23" t="n"/>
    </row>
    <row r="367">
      <c r="A367" s="23" t="n"/>
      <c r="B367" s="23" t="n"/>
      <c r="C367" s="24" t="n"/>
      <c r="D367" s="23" t="n"/>
      <c r="E367" s="23" t="n"/>
      <c r="F367" s="23" t="n"/>
      <c r="G367" s="23" t="n"/>
      <c r="H367" s="25" t="n"/>
      <c r="I367" s="26" t="n"/>
      <c r="J367" s="27">
        <f>IF(N(H367)=0,"",IF(M367="SI",0,ROUND(H367*I367,2)))</f>
        <v/>
      </c>
      <c r="K367" s="27">
        <f>IF(N(H367)=0,"",H367+N(J367))</f>
        <v/>
      </c>
      <c r="L367" s="23" t="n"/>
      <c r="M367" s="23" t="n"/>
      <c r="N367" s="23" t="n"/>
    </row>
    <row r="368">
      <c r="A368" s="23" t="n"/>
      <c r="B368" s="23" t="n"/>
      <c r="C368" s="24" t="n"/>
      <c r="D368" s="23" t="n"/>
      <c r="E368" s="23" t="n"/>
      <c r="F368" s="23" t="n"/>
      <c r="G368" s="23" t="n"/>
      <c r="H368" s="25" t="n"/>
      <c r="I368" s="26" t="n"/>
      <c r="J368" s="27">
        <f>IF(N(H368)=0,"",IF(M368="SI",0,ROUND(H368*I368,2)))</f>
        <v/>
      </c>
      <c r="K368" s="27">
        <f>IF(N(H368)=0,"",H368+N(J368))</f>
        <v/>
      </c>
      <c r="L368" s="23" t="n"/>
      <c r="M368" s="23" t="n"/>
      <c r="N368" s="23" t="n"/>
    </row>
    <row r="369">
      <c r="A369" s="23" t="n"/>
      <c r="B369" s="23" t="n"/>
      <c r="C369" s="24" t="n"/>
      <c r="D369" s="23" t="n"/>
      <c r="E369" s="23" t="n"/>
      <c r="F369" s="23" t="n"/>
      <c r="G369" s="23" t="n"/>
      <c r="H369" s="25" t="n"/>
      <c r="I369" s="26" t="n"/>
      <c r="J369" s="27">
        <f>IF(N(H369)=0,"",IF(M369="SI",0,ROUND(H369*I369,2)))</f>
        <v/>
      </c>
      <c r="K369" s="27">
        <f>IF(N(H369)=0,"",H369+N(J369))</f>
        <v/>
      </c>
      <c r="L369" s="23" t="n"/>
      <c r="M369" s="23" t="n"/>
      <c r="N369" s="23" t="n"/>
    </row>
    <row r="370">
      <c r="A370" s="23" t="n"/>
      <c r="B370" s="23" t="n"/>
      <c r="C370" s="24" t="n"/>
      <c r="D370" s="23" t="n"/>
      <c r="E370" s="23" t="n"/>
      <c r="F370" s="23" t="n"/>
      <c r="G370" s="23" t="n"/>
      <c r="H370" s="25" t="n"/>
      <c r="I370" s="26" t="n"/>
      <c r="J370" s="27">
        <f>IF(N(H370)=0,"",IF(M370="SI",0,ROUND(H370*I370,2)))</f>
        <v/>
      </c>
      <c r="K370" s="27">
        <f>IF(N(H370)=0,"",H370+N(J370))</f>
        <v/>
      </c>
      <c r="L370" s="23" t="n"/>
      <c r="M370" s="23" t="n"/>
      <c r="N370" s="23" t="n"/>
    </row>
    <row r="371">
      <c r="A371" s="23" t="n"/>
      <c r="B371" s="23" t="n"/>
      <c r="C371" s="24" t="n"/>
      <c r="D371" s="23" t="n"/>
      <c r="E371" s="23" t="n"/>
      <c r="F371" s="23" t="n"/>
      <c r="G371" s="23" t="n"/>
      <c r="H371" s="25" t="n"/>
      <c r="I371" s="26" t="n"/>
      <c r="J371" s="27">
        <f>IF(N(H371)=0,"",IF(M371="SI",0,ROUND(H371*I371,2)))</f>
        <v/>
      </c>
      <c r="K371" s="27">
        <f>IF(N(H371)=0,"",H371+N(J371))</f>
        <v/>
      </c>
      <c r="L371" s="23" t="n"/>
      <c r="M371" s="23" t="n"/>
      <c r="N371" s="23" t="n"/>
    </row>
    <row r="372">
      <c r="A372" s="23" t="n"/>
      <c r="B372" s="23" t="n"/>
      <c r="C372" s="24" t="n"/>
      <c r="D372" s="23" t="n"/>
      <c r="E372" s="23" t="n"/>
      <c r="F372" s="23" t="n"/>
      <c r="G372" s="23" t="n"/>
      <c r="H372" s="25" t="n"/>
      <c r="I372" s="26" t="n"/>
      <c r="J372" s="27">
        <f>IF(N(H372)=0,"",IF(M372="SI",0,ROUND(H372*I372,2)))</f>
        <v/>
      </c>
      <c r="K372" s="27">
        <f>IF(N(H372)=0,"",H372+N(J372))</f>
        <v/>
      </c>
      <c r="L372" s="23" t="n"/>
      <c r="M372" s="23" t="n"/>
      <c r="N372" s="23" t="n"/>
    </row>
    <row r="373">
      <c r="A373" s="23" t="n"/>
      <c r="B373" s="23" t="n"/>
      <c r="C373" s="24" t="n"/>
      <c r="D373" s="23" t="n"/>
      <c r="E373" s="23" t="n"/>
      <c r="F373" s="23" t="n"/>
      <c r="G373" s="23" t="n"/>
      <c r="H373" s="25" t="n"/>
      <c r="I373" s="26" t="n"/>
      <c r="J373" s="27">
        <f>IF(N(H373)=0,"",IF(M373="SI",0,ROUND(H373*I373,2)))</f>
        <v/>
      </c>
      <c r="K373" s="27">
        <f>IF(N(H373)=0,"",H373+N(J373))</f>
        <v/>
      </c>
      <c r="L373" s="23" t="n"/>
      <c r="M373" s="23" t="n"/>
      <c r="N373" s="23" t="n"/>
    </row>
    <row r="374">
      <c r="A374" s="23" t="n"/>
      <c r="B374" s="23" t="n"/>
      <c r="C374" s="24" t="n"/>
      <c r="D374" s="23" t="n"/>
      <c r="E374" s="23" t="n"/>
      <c r="F374" s="23" t="n"/>
      <c r="G374" s="23" t="n"/>
      <c r="H374" s="25" t="n"/>
      <c r="I374" s="26" t="n"/>
      <c r="J374" s="27">
        <f>IF(N(H374)=0,"",IF(M374="SI",0,ROUND(H374*I374,2)))</f>
        <v/>
      </c>
      <c r="K374" s="27">
        <f>IF(N(H374)=0,"",H374+N(J374))</f>
        <v/>
      </c>
      <c r="L374" s="23" t="n"/>
      <c r="M374" s="23" t="n"/>
      <c r="N374" s="23" t="n"/>
    </row>
    <row r="375">
      <c r="A375" s="23" t="n"/>
      <c r="B375" s="23" t="n"/>
      <c r="C375" s="24" t="n"/>
      <c r="D375" s="23" t="n"/>
      <c r="E375" s="23" t="n"/>
      <c r="F375" s="23" t="n"/>
      <c r="G375" s="23" t="n"/>
      <c r="H375" s="25" t="n"/>
      <c r="I375" s="26" t="n"/>
      <c r="J375" s="27">
        <f>IF(N(H375)=0,"",IF(M375="SI",0,ROUND(H375*I375,2)))</f>
        <v/>
      </c>
      <c r="K375" s="27">
        <f>IF(N(H375)=0,"",H375+N(J375))</f>
        <v/>
      </c>
      <c r="L375" s="23" t="n"/>
      <c r="M375" s="23" t="n"/>
      <c r="N375" s="23" t="n"/>
    </row>
    <row r="376">
      <c r="A376" s="23" t="n"/>
      <c r="B376" s="23" t="n"/>
      <c r="C376" s="24" t="n"/>
      <c r="D376" s="23" t="n"/>
      <c r="E376" s="23" t="n"/>
      <c r="F376" s="23" t="n"/>
      <c r="G376" s="23" t="n"/>
      <c r="H376" s="25" t="n"/>
      <c r="I376" s="26" t="n"/>
      <c r="J376" s="27">
        <f>IF(N(H376)=0,"",IF(M376="SI",0,ROUND(H376*I376,2)))</f>
        <v/>
      </c>
      <c r="K376" s="27">
        <f>IF(N(H376)=0,"",H376+N(J376))</f>
        <v/>
      </c>
      <c r="L376" s="23" t="n"/>
      <c r="M376" s="23" t="n"/>
      <c r="N376" s="23" t="n"/>
    </row>
    <row r="377">
      <c r="A377" s="23" t="n"/>
      <c r="B377" s="23" t="n"/>
      <c r="C377" s="24" t="n"/>
      <c r="D377" s="23" t="n"/>
      <c r="E377" s="23" t="n"/>
      <c r="F377" s="23" t="n"/>
      <c r="G377" s="23" t="n"/>
      <c r="H377" s="25" t="n"/>
      <c r="I377" s="26" t="n"/>
      <c r="J377" s="27">
        <f>IF(N(H377)=0,"",IF(M377="SI",0,ROUND(H377*I377,2)))</f>
        <v/>
      </c>
      <c r="K377" s="27">
        <f>IF(N(H377)=0,"",H377+N(J377))</f>
        <v/>
      </c>
      <c r="L377" s="23" t="n"/>
      <c r="M377" s="23" t="n"/>
      <c r="N377" s="23" t="n"/>
    </row>
    <row r="378">
      <c r="A378" s="23" t="n"/>
      <c r="B378" s="23" t="n"/>
      <c r="C378" s="24" t="n"/>
      <c r="D378" s="23" t="n"/>
      <c r="E378" s="23" t="n"/>
      <c r="F378" s="23" t="n"/>
      <c r="G378" s="23" t="n"/>
      <c r="H378" s="25" t="n"/>
      <c r="I378" s="26" t="n"/>
      <c r="J378" s="27">
        <f>IF(N(H378)=0,"",IF(M378="SI",0,ROUND(H378*I378,2)))</f>
        <v/>
      </c>
      <c r="K378" s="27">
        <f>IF(N(H378)=0,"",H378+N(J378))</f>
        <v/>
      </c>
      <c r="L378" s="23" t="n"/>
      <c r="M378" s="23" t="n"/>
      <c r="N378" s="23" t="n"/>
    </row>
    <row r="379">
      <c r="A379" s="23" t="n"/>
      <c r="B379" s="23" t="n"/>
      <c r="C379" s="24" t="n"/>
      <c r="D379" s="23" t="n"/>
      <c r="E379" s="23" t="n"/>
      <c r="F379" s="23" t="n"/>
      <c r="G379" s="23" t="n"/>
      <c r="H379" s="25" t="n"/>
      <c r="I379" s="26" t="n"/>
      <c r="J379" s="27">
        <f>IF(N(H379)=0,"",IF(M379="SI",0,ROUND(H379*I379,2)))</f>
        <v/>
      </c>
      <c r="K379" s="27">
        <f>IF(N(H379)=0,"",H379+N(J379))</f>
        <v/>
      </c>
      <c r="L379" s="23" t="n"/>
      <c r="M379" s="23" t="n"/>
      <c r="N379" s="23" t="n"/>
    </row>
    <row r="380">
      <c r="A380" s="23" t="n"/>
      <c r="B380" s="23" t="n"/>
      <c r="C380" s="24" t="n"/>
      <c r="D380" s="23" t="n"/>
      <c r="E380" s="23" t="n"/>
      <c r="F380" s="23" t="n"/>
      <c r="G380" s="23" t="n"/>
      <c r="H380" s="25" t="n"/>
      <c r="I380" s="26" t="n"/>
      <c r="J380" s="27">
        <f>IF(N(H380)=0,"",IF(M380="SI",0,ROUND(H380*I380,2)))</f>
        <v/>
      </c>
      <c r="K380" s="27">
        <f>IF(N(H380)=0,"",H380+N(J380))</f>
        <v/>
      </c>
      <c r="L380" s="23" t="n"/>
      <c r="M380" s="23" t="n"/>
      <c r="N380" s="23" t="n"/>
    </row>
    <row r="381">
      <c r="A381" s="23" t="n"/>
      <c r="B381" s="23" t="n"/>
      <c r="C381" s="24" t="n"/>
      <c r="D381" s="23" t="n"/>
      <c r="E381" s="23" t="n"/>
      <c r="F381" s="23" t="n"/>
      <c r="G381" s="23" t="n"/>
      <c r="H381" s="25" t="n"/>
      <c r="I381" s="26" t="n"/>
      <c r="J381" s="27">
        <f>IF(N(H381)=0,"",IF(M381="SI",0,ROUND(H381*I381,2)))</f>
        <v/>
      </c>
      <c r="K381" s="27">
        <f>IF(N(H381)=0,"",H381+N(J381))</f>
        <v/>
      </c>
      <c r="L381" s="23" t="n"/>
      <c r="M381" s="23" t="n"/>
      <c r="N381" s="23" t="n"/>
    </row>
    <row r="382">
      <c r="A382" s="23" t="n"/>
      <c r="B382" s="23" t="n"/>
      <c r="C382" s="24" t="n"/>
      <c r="D382" s="23" t="n"/>
      <c r="E382" s="23" t="n"/>
      <c r="F382" s="23" t="n"/>
      <c r="G382" s="23" t="n"/>
      <c r="H382" s="25" t="n"/>
      <c r="I382" s="26" t="n"/>
      <c r="J382" s="27">
        <f>IF(N(H382)=0,"",IF(M382="SI",0,ROUND(H382*I382,2)))</f>
        <v/>
      </c>
      <c r="K382" s="27">
        <f>IF(N(H382)=0,"",H382+N(J382))</f>
        <v/>
      </c>
      <c r="L382" s="23" t="n"/>
      <c r="M382" s="23" t="n"/>
      <c r="N382" s="23" t="n"/>
    </row>
    <row r="383">
      <c r="A383" s="23" t="n"/>
      <c r="B383" s="23" t="n"/>
      <c r="C383" s="24" t="n"/>
      <c r="D383" s="23" t="n"/>
      <c r="E383" s="23" t="n"/>
      <c r="F383" s="23" t="n"/>
      <c r="G383" s="23" t="n"/>
      <c r="H383" s="25" t="n"/>
      <c r="I383" s="26" t="n"/>
      <c r="J383" s="27">
        <f>IF(N(H383)=0,"",IF(M383="SI",0,ROUND(H383*I383,2)))</f>
        <v/>
      </c>
      <c r="K383" s="27">
        <f>IF(N(H383)=0,"",H383+N(J383))</f>
        <v/>
      </c>
      <c r="L383" s="23" t="n"/>
      <c r="M383" s="23" t="n"/>
      <c r="N383" s="23" t="n"/>
    </row>
    <row r="384">
      <c r="A384" s="23" t="n"/>
      <c r="B384" s="23" t="n"/>
      <c r="C384" s="24" t="n"/>
      <c r="D384" s="23" t="n"/>
      <c r="E384" s="23" t="n"/>
      <c r="F384" s="23" t="n"/>
      <c r="G384" s="23" t="n"/>
      <c r="H384" s="25" t="n"/>
      <c r="I384" s="26" t="n"/>
      <c r="J384" s="27">
        <f>IF(N(H384)=0,"",IF(M384="SI",0,ROUND(H384*I384,2)))</f>
        <v/>
      </c>
      <c r="K384" s="27">
        <f>IF(N(H384)=0,"",H384+N(J384))</f>
        <v/>
      </c>
      <c r="L384" s="23" t="n"/>
      <c r="M384" s="23" t="n"/>
      <c r="N384" s="23" t="n"/>
    </row>
    <row r="385">
      <c r="A385" s="23" t="n"/>
      <c r="B385" s="23" t="n"/>
      <c r="C385" s="24" t="n"/>
      <c r="D385" s="23" t="n"/>
      <c r="E385" s="23" t="n"/>
      <c r="F385" s="23" t="n"/>
      <c r="G385" s="23" t="n"/>
      <c r="H385" s="25" t="n"/>
      <c r="I385" s="26" t="n"/>
      <c r="J385" s="27">
        <f>IF(N(H385)=0,"",IF(M385="SI",0,ROUND(H385*I385,2)))</f>
        <v/>
      </c>
      <c r="K385" s="27">
        <f>IF(N(H385)=0,"",H385+N(J385))</f>
        <v/>
      </c>
      <c r="L385" s="23" t="n"/>
      <c r="M385" s="23" t="n"/>
      <c r="N385" s="23" t="n"/>
    </row>
    <row r="386">
      <c r="A386" s="23" t="n"/>
      <c r="B386" s="23" t="n"/>
      <c r="C386" s="24" t="n"/>
      <c r="D386" s="23" t="n"/>
      <c r="E386" s="23" t="n"/>
      <c r="F386" s="23" t="n"/>
      <c r="G386" s="23" t="n"/>
      <c r="H386" s="25" t="n"/>
      <c r="I386" s="26" t="n"/>
      <c r="J386" s="27">
        <f>IF(N(H386)=0,"",IF(M386="SI",0,ROUND(H386*I386,2)))</f>
        <v/>
      </c>
      <c r="K386" s="27">
        <f>IF(N(H386)=0,"",H386+N(J386))</f>
        <v/>
      </c>
      <c r="L386" s="23" t="n"/>
      <c r="M386" s="23" t="n"/>
      <c r="N386" s="23" t="n"/>
    </row>
    <row r="387">
      <c r="A387" s="23" t="n"/>
      <c r="B387" s="23" t="n"/>
      <c r="C387" s="24" t="n"/>
      <c r="D387" s="23" t="n"/>
      <c r="E387" s="23" t="n"/>
      <c r="F387" s="23" t="n"/>
      <c r="G387" s="23" t="n"/>
      <c r="H387" s="25" t="n"/>
      <c r="I387" s="26" t="n"/>
      <c r="J387" s="27">
        <f>IF(N(H387)=0,"",IF(M387="SI",0,ROUND(H387*I387,2)))</f>
        <v/>
      </c>
      <c r="K387" s="27">
        <f>IF(N(H387)=0,"",H387+N(J387))</f>
        <v/>
      </c>
      <c r="L387" s="23" t="n"/>
      <c r="M387" s="23" t="n"/>
      <c r="N387" s="23" t="n"/>
    </row>
    <row r="388">
      <c r="A388" s="23" t="n"/>
      <c r="B388" s="23" t="n"/>
      <c r="C388" s="24" t="n"/>
      <c r="D388" s="23" t="n"/>
      <c r="E388" s="23" t="n"/>
      <c r="F388" s="23" t="n"/>
      <c r="G388" s="23" t="n"/>
      <c r="H388" s="25" t="n"/>
      <c r="I388" s="26" t="n"/>
      <c r="J388" s="27">
        <f>IF(N(H388)=0,"",IF(M388="SI",0,ROUND(H388*I388,2)))</f>
        <v/>
      </c>
      <c r="K388" s="27">
        <f>IF(N(H388)=0,"",H388+N(J388))</f>
        <v/>
      </c>
      <c r="L388" s="23" t="n"/>
      <c r="M388" s="23" t="n"/>
      <c r="N388" s="23" t="n"/>
    </row>
    <row r="389">
      <c r="A389" s="23" t="n"/>
      <c r="B389" s="23" t="n"/>
      <c r="C389" s="24" t="n"/>
      <c r="D389" s="23" t="n"/>
      <c r="E389" s="23" t="n"/>
      <c r="F389" s="23" t="n"/>
      <c r="G389" s="23" t="n"/>
      <c r="H389" s="25" t="n"/>
      <c r="I389" s="26" t="n"/>
      <c r="J389" s="27">
        <f>IF(N(H389)=0,"",IF(M389="SI",0,ROUND(H389*I389,2)))</f>
        <v/>
      </c>
      <c r="K389" s="27">
        <f>IF(N(H389)=0,"",H389+N(J389))</f>
        <v/>
      </c>
      <c r="L389" s="23" t="n"/>
      <c r="M389" s="23" t="n"/>
      <c r="N389" s="23" t="n"/>
    </row>
    <row r="390">
      <c r="A390" s="23" t="n"/>
      <c r="B390" s="23" t="n"/>
      <c r="C390" s="24" t="n"/>
      <c r="D390" s="23" t="n"/>
      <c r="E390" s="23" t="n"/>
      <c r="F390" s="23" t="n"/>
      <c r="G390" s="23" t="n"/>
      <c r="H390" s="25" t="n"/>
      <c r="I390" s="26" t="n"/>
      <c r="J390" s="27">
        <f>IF(N(H390)=0,"",IF(M390="SI",0,ROUND(H390*I390,2)))</f>
        <v/>
      </c>
      <c r="K390" s="27">
        <f>IF(N(H390)=0,"",H390+N(J390))</f>
        <v/>
      </c>
      <c r="L390" s="23" t="n"/>
      <c r="M390" s="23" t="n"/>
      <c r="N390" s="23" t="n"/>
    </row>
    <row r="391">
      <c r="A391" s="23" t="n"/>
      <c r="B391" s="23" t="n"/>
      <c r="C391" s="24" t="n"/>
      <c r="D391" s="23" t="n"/>
      <c r="E391" s="23" t="n"/>
      <c r="F391" s="23" t="n"/>
      <c r="G391" s="23" t="n"/>
      <c r="H391" s="25" t="n"/>
      <c r="I391" s="26" t="n"/>
      <c r="J391" s="27">
        <f>IF(N(H391)=0,"",IF(M391="SI",0,ROUND(H391*I391,2)))</f>
        <v/>
      </c>
      <c r="K391" s="27">
        <f>IF(N(H391)=0,"",H391+N(J391))</f>
        <v/>
      </c>
      <c r="L391" s="23" t="n"/>
      <c r="M391" s="23" t="n"/>
      <c r="N391" s="23" t="n"/>
    </row>
    <row r="392">
      <c r="A392" s="23" t="n"/>
      <c r="B392" s="23" t="n"/>
      <c r="C392" s="24" t="n"/>
      <c r="D392" s="23" t="n"/>
      <c r="E392" s="23" t="n"/>
      <c r="F392" s="23" t="n"/>
      <c r="G392" s="23" t="n"/>
      <c r="H392" s="25" t="n"/>
      <c r="I392" s="26" t="n"/>
      <c r="J392" s="27">
        <f>IF(N(H392)=0,"",IF(M392="SI",0,ROUND(H392*I392,2)))</f>
        <v/>
      </c>
      <c r="K392" s="27">
        <f>IF(N(H392)=0,"",H392+N(J392))</f>
        <v/>
      </c>
      <c r="L392" s="23" t="n"/>
      <c r="M392" s="23" t="n"/>
      <c r="N392" s="23" t="n"/>
    </row>
    <row r="393">
      <c r="A393" s="23" t="n"/>
      <c r="B393" s="23" t="n"/>
      <c r="C393" s="24" t="n"/>
      <c r="D393" s="23" t="n"/>
      <c r="E393" s="23" t="n"/>
      <c r="F393" s="23" t="n"/>
      <c r="G393" s="23" t="n"/>
      <c r="H393" s="25" t="n"/>
      <c r="I393" s="26" t="n"/>
      <c r="J393" s="27">
        <f>IF(N(H393)=0,"",IF(M393="SI",0,ROUND(H393*I393,2)))</f>
        <v/>
      </c>
      <c r="K393" s="27">
        <f>IF(N(H393)=0,"",H393+N(J393))</f>
        <v/>
      </c>
      <c r="L393" s="23" t="n"/>
      <c r="M393" s="23" t="n"/>
      <c r="N393" s="23" t="n"/>
    </row>
    <row r="394">
      <c r="A394" s="23" t="n"/>
      <c r="B394" s="23" t="n"/>
      <c r="C394" s="24" t="n"/>
      <c r="D394" s="23" t="n"/>
      <c r="E394" s="23" t="n"/>
      <c r="F394" s="23" t="n"/>
      <c r="G394" s="23" t="n"/>
      <c r="H394" s="25" t="n"/>
      <c r="I394" s="26" t="n"/>
      <c r="J394" s="27">
        <f>IF(N(H394)=0,"",IF(M394="SI",0,ROUND(H394*I394,2)))</f>
        <v/>
      </c>
      <c r="K394" s="27">
        <f>IF(N(H394)=0,"",H394+N(J394))</f>
        <v/>
      </c>
      <c r="L394" s="23" t="n"/>
      <c r="M394" s="23" t="n"/>
      <c r="N394" s="23" t="n"/>
    </row>
    <row r="395">
      <c r="A395" s="23" t="n"/>
      <c r="B395" s="23" t="n"/>
      <c r="C395" s="24" t="n"/>
      <c r="D395" s="23" t="n"/>
      <c r="E395" s="23" t="n"/>
      <c r="F395" s="23" t="n"/>
      <c r="G395" s="23" t="n"/>
      <c r="H395" s="25" t="n"/>
      <c r="I395" s="26" t="n"/>
      <c r="J395" s="27">
        <f>IF(N(H395)=0,"",IF(M395="SI",0,ROUND(H395*I395,2)))</f>
        <v/>
      </c>
      <c r="K395" s="27">
        <f>IF(N(H395)=0,"",H395+N(J395))</f>
        <v/>
      </c>
      <c r="L395" s="23" t="n"/>
      <c r="M395" s="23" t="n"/>
      <c r="N395" s="23" t="n"/>
    </row>
    <row r="396">
      <c r="A396" s="23" t="n"/>
      <c r="B396" s="23" t="n"/>
      <c r="C396" s="24" t="n"/>
      <c r="D396" s="23" t="n"/>
      <c r="E396" s="23" t="n"/>
      <c r="F396" s="23" t="n"/>
      <c r="G396" s="23" t="n"/>
      <c r="H396" s="25" t="n"/>
      <c r="I396" s="26" t="n"/>
      <c r="J396" s="27">
        <f>IF(N(H396)=0,"",IF(M396="SI",0,ROUND(H396*I396,2)))</f>
        <v/>
      </c>
      <c r="K396" s="27">
        <f>IF(N(H396)=0,"",H396+N(J396))</f>
        <v/>
      </c>
      <c r="L396" s="23" t="n"/>
      <c r="M396" s="23" t="n"/>
      <c r="N396" s="23" t="n"/>
    </row>
    <row r="397">
      <c r="A397" s="23" t="n"/>
      <c r="B397" s="23" t="n"/>
      <c r="C397" s="24" t="n"/>
      <c r="D397" s="23" t="n"/>
      <c r="E397" s="23" t="n"/>
      <c r="F397" s="23" t="n"/>
      <c r="G397" s="23" t="n"/>
      <c r="H397" s="25" t="n"/>
      <c r="I397" s="26" t="n"/>
      <c r="J397" s="27">
        <f>IF(N(H397)=0,"",IF(M397="SI",0,ROUND(H397*I397,2)))</f>
        <v/>
      </c>
      <c r="K397" s="27">
        <f>IF(N(H397)=0,"",H397+N(J397))</f>
        <v/>
      </c>
      <c r="L397" s="23" t="n"/>
      <c r="M397" s="23" t="n"/>
      <c r="N397" s="23" t="n"/>
    </row>
    <row r="398">
      <c r="A398" s="23" t="n"/>
      <c r="B398" s="23" t="n"/>
      <c r="C398" s="24" t="n"/>
      <c r="D398" s="23" t="n"/>
      <c r="E398" s="23" t="n"/>
      <c r="F398" s="23" t="n"/>
      <c r="G398" s="23" t="n"/>
      <c r="H398" s="25" t="n"/>
      <c r="I398" s="26" t="n"/>
      <c r="J398" s="27">
        <f>IF(N(H398)=0,"",IF(M398="SI",0,ROUND(H398*I398,2)))</f>
        <v/>
      </c>
      <c r="K398" s="27">
        <f>IF(N(H398)=0,"",H398+N(J398))</f>
        <v/>
      </c>
      <c r="L398" s="23" t="n"/>
      <c r="M398" s="23" t="n"/>
      <c r="N398" s="23" t="n"/>
    </row>
    <row r="399">
      <c r="A399" s="23" t="n"/>
      <c r="B399" s="23" t="n"/>
      <c r="C399" s="24" t="n"/>
      <c r="D399" s="23" t="n"/>
      <c r="E399" s="23" t="n"/>
      <c r="F399" s="23" t="n"/>
      <c r="G399" s="23" t="n"/>
      <c r="H399" s="25" t="n"/>
      <c r="I399" s="26" t="n"/>
      <c r="J399" s="27">
        <f>IF(N(H399)=0,"",IF(M399="SI",0,ROUND(H399*I399,2)))</f>
        <v/>
      </c>
      <c r="K399" s="27">
        <f>IF(N(H399)=0,"",H399+N(J399))</f>
        <v/>
      </c>
      <c r="L399" s="23" t="n"/>
      <c r="M399" s="23" t="n"/>
      <c r="N399" s="23" t="n"/>
    </row>
    <row r="400">
      <c r="A400" s="23" t="n"/>
      <c r="B400" s="23" t="n"/>
      <c r="C400" s="24" t="n"/>
      <c r="D400" s="23" t="n"/>
      <c r="E400" s="23" t="n"/>
      <c r="F400" s="23" t="n"/>
      <c r="G400" s="23" t="n"/>
      <c r="H400" s="25" t="n"/>
      <c r="I400" s="26" t="n"/>
      <c r="J400" s="27">
        <f>IF(N(H400)=0,"",IF(M400="SI",0,ROUND(H400*I400,2)))</f>
        <v/>
      </c>
      <c r="K400" s="27">
        <f>IF(N(H400)=0,"",H400+N(J400))</f>
        <v/>
      </c>
      <c r="L400" s="23" t="n"/>
      <c r="M400" s="23" t="n"/>
      <c r="N400" s="23" t="n"/>
    </row>
    <row r="401">
      <c r="A401" s="23" t="n"/>
      <c r="B401" s="23" t="n"/>
      <c r="C401" s="24" t="n"/>
      <c r="D401" s="23" t="n"/>
      <c r="E401" s="23" t="n"/>
      <c r="F401" s="23" t="n"/>
      <c r="G401" s="23" t="n"/>
      <c r="H401" s="25" t="n"/>
      <c r="I401" s="26" t="n"/>
      <c r="J401" s="27">
        <f>IF(N(H401)=0,"",IF(M401="SI",0,ROUND(H401*I401,2)))</f>
        <v/>
      </c>
      <c r="K401" s="27">
        <f>IF(N(H401)=0,"",H401+N(J401))</f>
        <v/>
      </c>
      <c r="L401" s="23" t="n"/>
      <c r="M401" s="23" t="n"/>
      <c r="N401" s="23" t="n"/>
    </row>
    <row r="402">
      <c r="A402" s="23" t="n"/>
      <c r="B402" s="23" t="n"/>
      <c r="C402" s="24" t="n"/>
      <c r="D402" s="23" t="n"/>
      <c r="E402" s="23" t="n"/>
      <c r="F402" s="23" t="n"/>
      <c r="G402" s="23" t="n"/>
      <c r="H402" s="25" t="n"/>
      <c r="I402" s="26" t="n"/>
      <c r="J402" s="27">
        <f>IF(N(H402)=0,"",IF(M402="SI",0,ROUND(H402*I402,2)))</f>
        <v/>
      </c>
      <c r="K402" s="27">
        <f>IF(N(H402)=0,"",H402+N(J402))</f>
        <v/>
      </c>
      <c r="L402" s="23" t="n"/>
      <c r="M402" s="23" t="n"/>
      <c r="N402" s="23" t="n"/>
    </row>
    <row r="403">
      <c r="A403" s="23" t="n"/>
      <c r="B403" s="23" t="n"/>
      <c r="C403" s="24" t="n"/>
      <c r="D403" s="23" t="n"/>
      <c r="E403" s="23" t="n"/>
      <c r="F403" s="23" t="n"/>
      <c r="G403" s="23" t="n"/>
      <c r="H403" s="25" t="n"/>
      <c r="I403" s="26" t="n"/>
      <c r="J403" s="27">
        <f>IF(N(H403)=0,"",IF(M403="SI",0,ROUND(H403*I403,2)))</f>
        <v/>
      </c>
      <c r="K403" s="27">
        <f>IF(N(H403)=0,"",H403+N(J403))</f>
        <v/>
      </c>
      <c r="L403" s="23" t="n"/>
      <c r="M403" s="23" t="n"/>
      <c r="N403" s="23" t="n"/>
    </row>
    <row r="404">
      <c r="A404" s="23" t="n"/>
      <c r="B404" s="23" t="n"/>
      <c r="C404" s="24" t="n"/>
      <c r="D404" s="23" t="n"/>
      <c r="E404" s="23" t="n"/>
      <c r="F404" s="23" t="n"/>
      <c r="G404" s="23" t="n"/>
      <c r="H404" s="25" t="n"/>
      <c r="I404" s="26" t="n"/>
      <c r="J404" s="27">
        <f>IF(N(H404)=0,"",IF(M404="SI",0,ROUND(H404*I404,2)))</f>
        <v/>
      </c>
      <c r="K404" s="27">
        <f>IF(N(H404)=0,"",H404+N(J404))</f>
        <v/>
      </c>
      <c r="L404" s="23" t="n"/>
      <c r="M404" s="23" t="n"/>
      <c r="N404" s="23" t="n"/>
    </row>
  </sheetData>
  <dataValidations count="3">
    <dataValidation sqref="A5:A404" showDropDown="0" showInputMessage="0" showErrorMessage="0" allowBlank="1" type="list">
      <formula1>"RP,PROIM"</formula1>
    </dataValidation>
    <dataValidation sqref="M5:M404" showDropDown="0" showInputMessage="0" showErrorMessage="0" allowBlank="1" type="list">
      <formula1>"SI,NO"</formula1>
    </dataValidation>
    <dataValidation sqref="B5:B404" showDropDown="0" showInputMessage="0" showErrorMessage="0" allowBlank="1" type="list">
      <formula1>"07,08,09"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40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12" customWidth="1" min="3" max="3"/>
    <col width="13" customWidth="1" min="4" max="4"/>
    <col width="16" customWidth="1" min="5" max="5"/>
    <col width="30" customWidth="1" min="6" max="6"/>
    <col width="12" customWidth="1" min="7" max="7"/>
    <col width="14" customWidth="1" min="8" max="8"/>
    <col width="13" customWidth="1" min="9" max="9"/>
    <col width="8" customWidth="1" min="10" max="10"/>
    <col width="13" customWidth="1" min="11" max="11"/>
    <col width="13" customWidth="1" min="12" max="12"/>
    <col width="14" customWidth="1" min="13" max="13"/>
    <col width="10" customWidth="1" min="14" max="14"/>
    <col width="14" customWidth="1" min="15" max="15"/>
    <col width="7" customWidth="1" min="16" max="16"/>
    <col width="12" customWidth="1" min="17" max="17"/>
    <col width="36" customWidth="1" min="18" max="18"/>
  </cols>
  <sheetData>
    <row r="1">
      <c r="A1" s="1" t="inlineStr">
        <is>
          <t>Facturas recibidas — 3T 2026</t>
        </is>
      </c>
    </row>
    <row r="2">
      <c r="A2" s="2" t="inlineStr">
        <is>
          <t>El IVA se deduce en el periodo en que se recibe y registra la factura: por eso hay dos fechas.</t>
        </is>
      </c>
    </row>
    <row r="4" ht="30" customHeight="1">
      <c r="A4" s="10" t="inlineStr">
        <is>
          <t>EMPRESA</t>
        </is>
      </c>
      <c r="B4" s="10" t="inlineStr">
        <is>
          <t>MES</t>
        </is>
      </c>
      <c r="C4" s="10" t="inlineStr">
        <is>
          <t>FECHA FRA</t>
        </is>
      </c>
      <c r="D4" s="10" t="inlineStr">
        <is>
          <t>FECHA RECEP.</t>
        </is>
      </c>
      <c r="E4" s="10" t="inlineStr">
        <is>
          <t>Nº FACTURA</t>
        </is>
      </c>
      <c r="F4" s="10" t="inlineStr">
        <is>
          <t>PROVEEDOR</t>
        </is>
      </c>
      <c r="G4" s="10" t="inlineStr">
        <is>
          <t>NIF</t>
        </is>
      </c>
      <c r="H4" s="10" t="inlineStr">
        <is>
          <t>CUENTA PROV.</t>
        </is>
      </c>
      <c r="I4" s="10" t="inlineStr">
        <is>
          <t>BASE</t>
        </is>
      </c>
      <c r="J4" s="10" t="inlineStr">
        <is>
          <t>TIPO</t>
        </is>
      </c>
      <c r="K4" s="10" t="inlineStr">
        <is>
          <t>CUOTA IVA</t>
        </is>
      </c>
      <c r="L4" s="10" t="inlineStr">
        <is>
          <t>TOTAL</t>
        </is>
      </c>
      <c r="M4" s="10" t="inlineStr">
        <is>
          <t>CUENTA GASTO</t>
        </is>
      </c>
      <c r="N4" s="10" t="inlineStr">
        <is>
          <t>% DEDUC.</t>
        </is>
      </c>
      <c r="O4" s="10" t="inlineStr">
        <is>
          <t>IVA DEDUCIBLE</t>
        </is>
      </c>
      <c r="P4" s="10" t="inlineStr">
        <is>
          <t>ISP</t>
        </is>
      </c>
      <c r="Q4" s="10" t="inlineStr">
        <is>
          <t>B. INVERSIÓN</t>
        </is>
      </c>
      <c r="R4" s="10" t="inlineStr">
        <is>
          <t>OBSERVACIONES</t>
        </is>
      </c>
    </row>
    <row r="5">
      <c r="A5" s="23" t="inlineStr">
        <is>
          <t>EJEMPLO</t>
        </is>
      </c>
      <c r="B5" s="23" t="inlineStr">
        <is>
          <t>07</t>
        </is>
      </c>
      <c r="C5" s="24" t="n">
        <v>46206</v>
      </c>
      <c r="D5" s="24" t="n">
        <v>46212</v>
      </c>
      <c r="E5" s="23" t="inlineStr">
        <is>
          <t>A-2026-551</t>
        </is>
      </c>
      <c r="F5" s="23" t="inlineStr">
        <is>
          <t>Fila de ejemplo: EMPRESA=EJEMPLO no suma en IVA_303. Bórrala o sobrescríbela.</t>
        </is>
      </c>
      <c r="G5" s="23" t="inlineStr">
        <is>
          <t>B07xxxxxx</t>
        </is>
      </c>
      <c r="H5" s="23" t="inlineStr">
        <is>
          <t>400000183</t>
        </is>
      </c>
      <c r="I5" s="25" t="n">
        <v>1850</v>
      </c>
      <c r="J5" s="26" t="n">
        <v>0.21</v>
      </c>
      <c r="K5" s="27">
        <f>IF(N(I5)=0,"",ROUND(I5*J5,2))</f>
        <v/>
      </c>
      <c r="L5" s="27">
        <f>IF(N(I5)=0,"",IF(P5="SI",I5,I5+N(K5)))</f>
        <v/>
      </c>
      <c r="M5" s="23" t="inlineStr">
        <is>
          <t>600000001</t>
        </is>
      </c>
      <c r="N5" s="26" t="n">
        <v>1</v>
      </c>
      <c r="O5" s="27">
        <f>IF(N(I5)=0,"",ROUND(N(K5)*N(N5),2))</f>
        <v/>
      </c>
      <c r="P5" s="23" t="inlineStr">
        <is>
          <t>NO</t>
        </is>
      </c>
      <c r="Q5" s="23" t="inlineStr">
        <is>
          <t>NO</t>
        </is>
      </c>
      <c r="R5" s="28" t="n"/>
    </row>
    <row r="6">
      <c r="A6" s="23" t="n"/>
      <c r="B6" s="23" t="n"/>
      <c r="C6" s="24" t="n"/>
      <c r="D6" s="24" t="n"/>
      <c r="E6" s="23" t="n"/>
      <c r="F6" s="23" t="n"/>
      <c r="G6" s="23" t="n"/>
      <c r="H6" s="23" t="n"/>
      <c r="I6" s="25" t="n"/>
      <c r="J6" s="26" t="n"/>
      <c r="K6" s="27">
        <f>IF(N(I6)=0,"",ROUND(I6*J6,2))</f>
        <v/>
      </c>
      <c r="L6" s="27">
        <f>IF(N(I6)=0,"",IF(P6="SI",I6,I6+N(K6)))</f>
        <v/>
      </c>
      <c r="M6" s="23" t="n"/>
      <c r="N6" s="26" t="n"/>
      <c r="O6" s="27">
        <f>IF(N(I6)=0,"",ROUND(N(K6)*N(N6),2))</f>
        <v/>
      </c>
      <c r="P6" s="23" t="n"/>
      <c r="Q6" s="23" t="n"/>
      <c r="R6" s="23" t="n"/>
    </row>
    <row r="7">
      <c r="A7" s="23" t="n"/>
      <c r="B7" s="23" t="n"/>
      <c r="C7" s="24" t="n"/>
      <c r="D7" s="24" t="n"/>
      <c r="E7" s="23" t="n"/>
      <c r="F7" s="23" t="n"/>
      <c r="G7" s="23" t="n"/>
      <c r="H7" s="23" t="n"/>
      <c r="I7" s="25" t="n"/>
      <c r="J7" s="26" t="n"/>
      <c r="K7" s="27">
        <f>IF(N(I7)=0,"",ROUND(I7*J7,2))</f>
        <v/>
      </c>
      <c r="L7" s="27">
        <f>IF(N(I7)=0,"",IF(P7="SI",I7,I7+N(K7)))</f>
        <v/>
      </c>
      <c r="M7" s="23" t="n"/>
      <c r="N7" s="26" t="n"/>
      <c r="O7" s="27">
        <f>IF(N(I7)=0,"",ROUND(N(K7)*N(N7),2))</f>
        <v/>
      </c>
      <c r="P7" s="23" t="n"/>
      <c r="Q7" s="23" t="n"/>
      <c r="R7" s="23" t="n"/>
    </row>
    <row r="8">
      <c r="A8" s="23" t="n"/>
      <c r="B8" s="23" t="n"/>
      <c r="C8" s="24" t="n"/>
      <c r="D8" s="24" t="n"/>
      <c r="E8" s="23" t="n"/>
      <c r="F8" s="23" t="n"/>
      <c r="G8" s="23" t="n"/>
      <c r="H8" s="23" t="n"/>
      <c r="I8" s="25" t="n"/>
      <c r="J8" s="26" t="n"/>
      <c r="K8" s="27">
        <f>IF(N(I8)=0,"",ROUND(I8*J8,2))</f>
        <v/>
      </c>
      <c r="L8" s="27">
        <f>IF(N(I8)=0,"",IF(P8="SI",I8,I8+N(K8)))</f>
        <v/>
      </c>
      <c r="M8" s="23" t="n"/>
      <c r="N8" s="26" t="n"/>
      <c r="O8" s="27">
        <f>IF(N(I8)=0,"",ROUND(N(K8)*N(N8),2))</f>
        <v/>
      </c>
      <c r="P8" s="23" t="n"/>
      <c r="Q8" s="23" t="n"/>
      <c r="R8" s="23" t="n"/>
    </row>
    <row r="9">
      <c r="A9" s="23" t="n"/>
      <c r="B9" s="23" t="n"/>
      <c r="C9" s="24" t="n"/>
      <c r="D9" s="24" t="n"/>
      <c r="E9" s="23" t="n"/>
      <c r="F9" s="23" t="n"/>
      <c r="G9" s="23" t="n"/>
      <c r="H9" s="23" t="n"/>
      <c r="I9" s="25" t="n"/>
      <c r="J9" s="26" t="n"/>
      <c r="K9" s="27">
        <f>IF(N(I9)=0,"",ROUND(I9*J9,2))</f>
        <v/>
      </c>
      <c r="L9" s="27">
        <f>IF(N(I9)=0,"",IF(P9="SI",I9,I9+N(K9)))</f>
        <v/>
      </c>
      <c r="M9" s="23" t="n"/>
      <c r="N9" s="26" t="n"/>
      <c r="O9" s="27">
        <f>IF(N(I9)=0,"",ROUND(N(K9)*N(N9),2))</f>
        <v/>
      </c>
      <c r="P9" s="23" t="n"/>
      <c r="Q9" s="23" t="n"/>
      <c r="R9" s="23" t="n"/>
    </row>
    <row r="10">
      <c r="A10" s="23" t="n"/>
      <c r="B10" s="23" t="n"/>
      <c r="C10" s="24" t="n"/>
      <c r="D10" s="24" t="n"/>
      <c r="E10" s="23" t="n"/>
      <c r="F10" s="23" t="n"/>
      <c r="G10" s="23" t="n"/>
      <c r="H10" s="23" t="n"/>
      <c r="I10" s="25" t="n"/>
      <c r="J10" s="26" t="n"/>
      <c r="K10" s="27">
        <f>IF(N(I10)=0,"",ROUND(I10*J10,2))</f>
        <v/>
      </c>
      <c r="L10" s="27">
        <f>IF(N(I10)=0,"",IF(P10="SI",I10,I10+N(K10)))</f>
        <v/>
      </c>
      <c r="M10" s="23" t="n"/>
      <c r="N10" s="26" t="n"/>
      <c r="O10" s="27">
        <f>IF(N(I10)=0,"",ROUND(N(K10)*N(N10),2))</f>
        <v/>
      </c>
      <c r="P10" s="23" t="n"/>
      <c r="Q10" s="23" t="n"/>
      <c r="R10" s="23" t="n"/>
    </row>
    <row r="11">
      <c r="A11" s="23" t="n"/>
      <c r="B11" s="23" t="n"/>
      <c r="C11" s="24" t="n"/>
      <c r="D11" s="24" t="n"/>
      <c r="E11" s="23" t="n"/>
      <c r="F11" s="23" t="n"/>
      <c r="G11" s="23" t="n"/>
      <c r="H11" s="23" t="n"/>
      <c r="I11" s="25" t="n"/>
      <c r="J11" s="26" t="n"/>
      <c r="K11" s="27">
        <f>IF(N(I11)=0,"",ROUND(I11*J11,2))</f>
        <v/>
      </c>
      <c r="L11" s="27">
        <f>IF(N(I11)=0,"",IF(P11="SI",I11,I11+N(K11)))</f>
        <v/>
      </c>
      <c r="M11" s="23" t="n"/>
      <c r="N11" s="26" t="n"/>
      <c r="O11" s="27">
        <f>IF(N(I11)=0,"",ROUND(N(K11)*N(N11),2))</f>
        <v/>
      </c>
      <c r="P11" s="23" t="n"/>
      <c r="Q11" s="23" t="n"/>
      <c r="R11" s="23" t="n"/>
    </row>
    <row r="12">
      <c r="A12" s="23" t="n"/>
      <c r="B12" s="23" t="n"/>
      <c r="C12" s="24" t="n"/>
      <c r="D12" s="24" t="n"/>
      <c r="E12" s="23" t="n"/>
      <c r="F12" s="23" t="n"/>
      <c r="G12" s="23" t="n"/>
      <c r="H12" s="23" t="n"/>
      <c r="I12" s="25" t="n"/>
      <c r="J12" s="26" t="n"/>
      <c r="K12" s="27">
        <f>IF(N(I12)=0,"",ROUND(I12*J12,2))</f>
        <v/>
      </c>
      <c r="L12" s="27">
        <f>IF(N(I12)=0,"",IF(P12="SI",I12,I12+N(K12)))</f>
        <v/>
      </c>
      <c r="M12" s="23" t="n"/>
      <c r="N12" s="26" t="n"/>
      <c r="O12" s="27">
        <f>IF(N(I12)=0,"",ROUND(N(K12)*N(N12),2))</f>
        <v/>
      </c>
      <c r="P12" s="23" t="n"/>
      <c r="Q12" s="23" t="n"/>
      <c r="R12" s="23" t="n"/>
    </row>
    <row r="13">
      <c r="A13" s="23" t="n"/>
      <c r="B13" s="23" t="n"/>
      <c r="C13" s="24" t="n"/>
      <c r="D13" s="24" t="n"/>
      <c r="E13" s="23" t="n"/>
      <c r="F13" s="23" t="n"/>
      <c r="G13" s="23" t="n"/>
      <c r="H13" s="23" t="n"/>
      <c r="I13" s="25" t="n"/>
      <c r="J13" s="26" t="n"/>
      <c r="K13" s="27">
        <f>IF(N(I13)=0,"",ROUND(I13*J13,2))</f>
        <v/>
      </c>
      <c r="L13" s="27">
        <f>IF(N(I13)=0,"",IF(P13="SI",I13,I13+N(K13)))</f>
        <v/>
      </c>
      <c r="M13" s="23" t="n"/>
      <c r="N13" s="26" t="n"/>
      <c r="O13" s="27">
        <f>IF(N(I13)=0,"",ROUND(N(K13)*N(N13),2))</f>
        <v/>
      </c>
      <c r="P13" s="23" t="n"/>
      <c r="Q13" s="23" t="n"/>
      <c r="R13" s="23" t="n"/>
    </row>
    <row r="14">
      <c r="A14" s="23" t="n"/>
      <c r="B14" s="23" t="n"/>
      <c r="C14" s="24" t="n"/>
      <c r="D14" s="24" t="n"/>
      <c r="E14" s="23" t="n"/>
      <c r="F14" s="23" t="n"/>
      <c r="G14" s="23" t="n"/>
      <c r="H14" s="23" t="n"/>
      <c r="I14" s="25" t="n"/>
      <c r="J14" s="26" t="n"/>
      <c r="K14" s="27">
        <f>IF(N(I14)=0,"",ROUND(I14*J14,2))</f>
        <v/>
      </c>
      <c r="L14" s="27">
        <f>IF(N(I14)=0,"",IF(P14="SI",I14,I14+N(K14)))</f>
        <v/>
      </c>
      <c r="M14" s="23" t="n"/>
      <c r="N14" s="26" t="n"/>
      <c r="O14" s="27">
        <f>IF(N(I14)=0,"",ROUND(N(K14)*N(N14),2))</f>
        <v/>
      </c>
      <c r="P14" s="23" t="n"/>
      <c r="Q14" s="23" t="n"/>
      <c r="R14" s="23" t="n"/>
    </row>
    <row r="15">
      <c r="A15" s="23" t="n"/>
      <c r="B15" s="23" t="n"/>
      <c r="C15" s="24" t="n"/>
      <c r="D15" s="24" t="n"/>
      <c r="E15" s="23" t="n"/>
      <c r="F15" s="23" t="n"/>
      <c r="G15" s="23" t="n"/>
      <c r="H15" s="23" t="n"/>
      <c r="I15" s="25" t="n"/>
      <c r="J15" s="26" t="n"/>
      <c r="K15" s="27">
        <f>IF(N(I15)=0,"",ROUND(I15*J15,2))</f>
        <v/>
      </c>
      <c r="L15" s="27">
        <f>IF(N(I15)=0,"",IF(P15="SI",I15,I15+N(K15)))</f>
        <v/>
      </c>
      <c r="M15" s="23" t="n"/>
      <c r="N15" s="26" t="n"/>
      <c r="O15" s="27">
        <f>IF(N(I15)=0,"",ROUND(N(K15)*N(N15),2))</f>
        <v/>
      </c>
      <c r="P15" s="23" t="n"/>
      <c r="Q15" s="23" t="n"/>
      <c r="R15" s="23" t="n"/>
    </row>
    <row r="16">
      <c r="A16" s="23" t="n"/>
      <c r="B16" s="23" t="n"/>
      <c r="C16" s="24" t="n"/>
      <c r="D16" s="24" t="n"/>
      <c r="E16" s="23" t="n"/>
      <c r="F16" s="23" t="n"/>
      <c r="G16" s="23" t="n"/>
      <c r="H16" s="23" t="n"/>
      <c r="I16" s="25" t="n"/>
      <c r="J16" s="26" t="n"/>
      <c r="K16" s="27">
        <f>IF(N(I16)=0,"",ROUND(I16*J16,2))</f>
        <v/>
      </c>
      <c r="L16" s="27">
        <f>IF(N(I16)=0,"",IF(P16="SI",I16,I16+N(K16)))</f>
        <v/>
      </c>
      <c r="M16" s="23" t="n"/>
      <c r="N16" s="26" t="n"/>
      <c r="O16" s="27">
        <f>IF(N(I16)=0,"",ROUND(N(K16)*N(N16),2))</f>
        <v/>
      </c>
      <c r="P16" s="23" t="n"/>
      <c r="Q16" s="23" t="n"/>
      <c r="R16" s="23" t="n"/>
    </row>
    <row r="17">
      <c r="A17" s="23" t="n"/>
      <c r="B17" s="23" t="n"/>
      <c r="C17" s="24" t="n"/>
      <c r="D17" s="24" t="n"/>
      <c r="E17" s="23" t="n"/>
      <c r="F17" s="23" t="n"/>
      <c r="G17" s="23" t="n"/>
      <c r="H17" s="23" t="n"/>
      <c r="I17" s="25" t="n"/>
      <c r="J17" s="26" t="n"/>
      <c r="K17" s="27">
        <f>IF(N(I17)=0,"",ROUND(I17*J17,2))</f>
        <v/>
      </c>
      <c r="L17" s="27">
        <f>IF(N(I17)=0,"",IF(P17="SI",I17,I17+N(K17)))</f>
        <v/>
      </c>
      <c r="M17" s="23" t="n"/>
      <c r="N17" s="26" t="n"/>
      <c r="O17" s="27">
        <f>IF(N(I17)=0,"",ROUND(N(K17)*N(N17),2))</f>
        <v/>
      </c>
      <c r="P17" s="23" t="n"/>
      <c r="Q17" s="23" t="n"/>
      <c r="R17" s="23" t="n"/>
    </row>
    <row r="18">
      <c r="A18" s="23" t="n"/>
      <c r="B18" s="23" t="n"/>
      <c r="C18" s="24" t="n"/>
      <c r="D18" s="24" t="n"/>
      <c r="E18" s="23" t="n"/>
      <c r="F18" s="23" t="n"/>
      <c r="G18" s="23" t="n"/>
      <c r="H18" s="23" t="n"/>
      <c r="I18" s="25" t="n"/>
      <c r="J18" s="26" t="n"/>
      <c r="K18" s="27">
        <f>IF(N(I18)=0,"",ROUND(I18*J18,2))</f>
        <v/>
      </c>
      <c r="L18" s="27">
        <f>IF(N(I18)=0,"",IF(P18="SI",I18,I18+N(K18)))</f>
        <v/>
      </c>
      <c r="M18" s="23" t="n"/>
      <c r="N18" s="26" t="n"/>
      <c r="O18" s="27">
        <f>IF(N(I18)=0,"",ROUND(N(K18)*N(N18),2))</f>
        <v/>
      </c>
      <c r="P18" s="23" t="n"/>
      <c r="Q18" s="23" t="n"/>
      <c r="R18" s="23" t="n"/>
    </row>
    <row r="19">
      <c r="A19" s="23" t="n"/>
      <c r="B19" s="23" t="n"/>
      <c r="C19" s="24" t="n"/>
      <c r="D19" s="24" t="n"/>
      <c r="E19" s="23" t="n"/>
      <c r="F19" s="23" t="n"/>
      <c r="G19" s="23" t="n"/>
      <c r="H19" s="23" t="n"/>
      <c r="I19" s="25" t="n"/>
      <c r="J19" s="26" t="n"/>
      <c r="K19" s="27">
        <f>IF(N(I19)=0,"",ROUND(I19*J19,2))</f>
        <v/>
      </c>
      <c r="L19" s="27">
        <f>IF(N(I19)=0,"",IF(P19="SI",I19,I19+N(K19)))</f>
        <v/>
      </c>
      <c r="M19" s="23" t="n"/>
      <c r="N19" s="26" t="n"/>
      <c r="O19" s="27">
        <f>IF(N(I19)=0,"",ROUND(N(K19)*N(N19),2))</f>
        <v/>
      </c>
      <c r="P19" s="23" t="n"/>
      <c r="Q19" s="23" t="n"/>
      <c r="R19" s="23" t="n"/>
    </row>
    <row r="20">
      <c r="A20" s="23" t="n"/>
      <c r="B20" s="23" t="n"/>
      <c r="C20" s="24" t="n"/>
      <c r="D20" s="24" t="n"/>
      <c r="E20" s="23" t="n"/>
      <c r="F20" s="23" t="n"/>
      <c r="G20" s="23" t="n"/>
      <c r="H20" s="23" t="n"/>
      <c r="I20" s="25" t="n"/>
      <c r="J20" s="26" t="n"/>
      <c r="K20" s="27">
        <f>IF(N(I20)=0,"",ROUND(I20*J20,2))</f>
        <v/>
      </c>
      <c r="L20" s="27">
        <f>IF(N(I20)=0,"",IF(P20="SI",I20,I20+N(K20)))</f>
        <v/>
      </c>
      <c r="M20" s="23" t="n"/>
      <c r="N20" s="26" t="n"/>
      <c r="O20" s="27">
        <f>IF(N(I20)=0,"",ROUND(N(K20)*N(N20),2))</f>
        <v/>
      </c>
      <c r="P20" s="23" t="n"/>
      <c r="Q20" s="23" t="n"/>
      <c r="R20" s="23" t="n"/>
    </row>
    <row r="21">
      <c r="A21" s="23" t="n"/>
      <c r="B21" s="23" t="n"/>
      <c r="C21" s="24" t="n"/>
      <c r="D21" s="24" t="n"/>
      <c r="E21" s="23" t="n"/>
      <c r="F21" s="23" t="n"/>
      <c r="G21" s="23" t="n"/>
      <c r="H21" s="23" t="n"/>
      <c r="I21" s="25" t="n"/>
      <c r="J21" s="26" t="n"/>
      <c r="K21" s="27">
        <f>IF(N(I21)=0,"",ROUND(I21*J21,2))</f>
        <v/>
      </c>
      <c r="L21" s="27">
        <f>IF(N(I21)=0,"",IF(P21="SI",I21,I21+N(K21)))</f>
        <v/>
      </c>
      <c r="M21" s="23" t="n"/>
      <c r="N21" s="26" t="n"/>
      <c r="O21" s="27">
        <f>IF(N(I21)=0,"",ROUND(N(K21)*N(N21),2))</f>
        <v/>
      </c>
      <c r="P21" s="23" t="n"/>
      <c r="Q21" s="23" t="n"/>
      <c r="R21" s="23" t="n"/>
    </row>
    <row r="22">
      <c r="A22" s="23" t="n"/>
      <c r="B22" s="23" t="n"/>
      <c r="C22" s="24" t="n"/>
      <c r="D22" s="24" t="n"/>
      <c r="E22" s="23" t="n"/>
      <c r="F22" s="23" t="n"/>
      <c r="G22" s="23" t="n"/>
      <c r="H22" s="23" t="n"/>
      <c r="I22" s="25" t="n"/>
      <c r="J22" s="26" t="n"/>
      <c r="K22" s="27">
        <f>IF(N(I22)=0,"",ROUND(I22*J22,2))</f>
        <v/>
      </c>
      <c r="L22" s="27">
        <f>IF(N(I22)=0,"",IF(P22="SI",I22,I22+N(K22)))</f>
        <v/>
      </c>
      <c r="M22" s="23" t="n"/>
      <c r="N22" s="26" t="n"/>
      <c r="O22" s="27">
        <f>IF(N(I22)=0,"",ROUND(N(K22)*N(N22),2))</f>
        <v/>
      </c>
      <c r="P22" s="23" t="n"/>
      <c r="Q22" s="23" t="n"/>
      <c r="R22" s="23" t="n"/>
    </row>
    <row r="23">
      <c r="A23" s="23" t="n"/>
      <c r="B23" s="23" t="n"/>
      <c r="C23" s="24" t="n"/>
      <c r="D23" s="24" t="n"/>
      <c r="E23" s="23" t="n"/>
      <c r="F23" s="23" t="n"/>
      <c r="G23" s="23" t="n"/>
      <c r="H23" s="23" t="n"/>
      <c r="I23" s="25" t="n"/>
      <c r="J23" s="26" t="n"/>
      <c r="K23" s="27">
        <f>IF(N(I23)=0,"",ROUND(I23*J23,2))</f>
        <v/>
      </c>
      <c r="L23" s="27">
        <f>IF(N(I23)=0,"",IF(P23="SI",I23,I23+N(K23)))</f>
        <v/>
      </c>
      <c r="M23" s="23" t="n"/>
      <c r="N23" s="26" t="n"/>
      <c r="O23" s="27">
        <f>IF(N(I23)=0,"",ROUND(N(K23)*N(N23),2))</f>
        <v/>
      </c>
      <c r="P23" s="23" t="n"/>
      <c r="Q23" s="23" t="n"/>
      <c r="R23" s="23" t="n"/>
    </row>
    <row r="24">
      <c r="A24" s="23" t="n"/>
      <c r="B24" s="23" t="n"/>
      <c r="C24" s="24" t="n"/>
      <c r="D24" s="24" t="n"/>
      <c r="E24" s="23" t="n"/>
      <c r="F24" s="23" t="n"/>
      <c r="G24" s="23" t="n"/>
      <c r="H24" s="23" t="n"/>
      <c r="I24" s="25" t="n"/>
      <c r="J24" s="26" t="n"/>
      <c r="K24" s="27">
        <f>IF(N(I24)=0,"",ROUND(I24*J24,2))</f>
        <v/>
      </c>
      <c r="L24" s="27">
        <f>IF(N(I24)=0,"",IF(P24="SI",I24,I24+N(K24)))</f>
        <v/>
      </c>
      <c r="M24" s="23" t="n"/>
      <c r="N24" s="26" t="n"/>
      <c r="O24" s="27">
        <f>IF(N(I24)=0,"",ROUND(N(K24)*N(N24),2))</f>
        <v/>
      </c>
      <c r="P24" s="23" t="n"/>
      <c r="Q24" s="23" t="n"/>
      <c r="R24" s="23" t="n"/>
    </row>
    <row r="25">
      <c r="A25" s="23" t="n"/>
      <c r="B25" s="23" t="n"/>
      <c r="C25" s="24" t="n"/>
      <c r="D25" s="24" t="n"/>
      <c r="E25" s="23" t="n"/>
      <c r="F25" s="23" t="n"/>
      <c r="G25" s="23" t="n"/>
      <c r="H25" s="23" t="n"/>
      <c r="I25" s="25" t="n"/>
      <c r="J25" s="26" t="n"/>
      <c r="K25" s="27">
        <f>IF(N(I25)=0,"",ROUND(I25*J25,2))</f>
        <v/>
      </c>
      <c r="L25" s="27">
        <f>IF(N(I25)=0,"",IF(P25="SI",I25,I25+N(K25)))</f>
        <v/>
      </c>
      <c r="M25" s="23" t="n"/>
      <c r="N25" s="26" t="n"/>
      <c r="O25" s="27">
        <f>IF(N(I25)=0,"",ROUND(N(K25)*N(N25),2))</f>
        <v/>
      </c>
      <c r="P25" s="23" t="n"/>
      <c r="Q25" s="23" t="n"/>
      <c r="R25" s="23" t="n"/>
    </row>
    <row r="26">
      <c r="A26" s="23" t="n"/>
      <c r="B26" s="23" t="n"/>
      <c r="C26" s="24" t="n"/>
      <c r="D26" s="24" t="n"/>
      <c r="E26" s="23" t="n"/>
      <c r="F26" s="23" t="n"/>
      <c r="G26" s="23" t="n"/>
      <c r="H26" s="23" t="n"/>
      <c r="I26" s="25" t="n"/>
      <c r="J26" s="26" t="n"/>
      <c r="K26" s="27">
        <f>IF(N(I26)=0,"",ROUND(I26*J26,2))</f>
        <v/>
      </c>
      <c r="L26" s="27">
        <f>IF(N(I26)=0,"",IF(P26="SI",I26,I26+N(K26)))</f>
        <v/>
      </c>
      <c r="M26" s="23" t="n"/>
      <c r="N26" s="26" t="n"/>
      <c r="O26" s="27">
        <f>IF(N(I26)=0,"",ROUND(N(K26)*N(N26),2))</f>
        <v/>
      </c>
      <c r="P26" s="23" t="n"/>
      <c r="Q26" s="23" t="n"/>
      <c r="R26" s="23" t="n"/>
    </row>
    <row r="27">
      <c r="A27" s="23" t="n"/>
      <c r="B27" s="23" t="n"/>
      <c r="C27" s="24" t="n"/>
      <c r="D27" s="24" t="n"/>
      <c r="E27" s="23" t="n"/>
      <c r="F27" s="23" t="n"/>
      <c r="G27" s="23" t="n"/>
      <c r="H27" s="23" t="n"/>
      <c r="I27" s="25" t="n"/>
      <c r="J27" s="26" t="n"/>
      <c r="K27" s="27">
        <f>IF(N(I27)=0,"",ROUND(I27*J27,2))</f>
        <v/>
      </c>
      <c r="L27" s="27">
        <f>IF(N(I27)=0,"",IF(P27="SI",I27,I27+N(K27)))</f>
        <v/>
      </c>
      <c r="M27" s="23" t="n"/>
      <c r="N27" s="26" t="n"/>
      <c r="O27" s="27">
        <f>IF(N(I27)=0,"",ROUND(N(K27)*N(N27),2))</f>
        <v/>
      </c>
      <c r="P27" s="23" t="n"/>
      <c r="Q27" s="23" t="n"/>
      <c r="R27" s="23" t="n"/>
    </row>
    <row r="28">
      <c r="A28" s="23" t="n"/>
      <c r="B28" s="23" t="n"/>
      <c r="C28" s="24" t="n"/>
      <c r="D28" s="24" t="n"/>
      <c r="E28" s="23" t="n"/>
      <c r="F28" s="23" t="n"/>
      <c r="G28" s="23" t="n"/>
      <c r="H28" s="23" t="n"/>
      <c r="I28" s="25" t="n"/>
      <c r="J28" s="26" t="n"/>
      <c r="K28" s="27">
        <f>IF(N(I28)=0,"",ROUND(I28*J28,2))</f>
        <v/>
      </c>
      <c r="L28" s="27">
        <f>IF(N(I28)=0,"",IF(P28="SI",I28,I28+N(K28)))</f>
        <v/>
      </c>
      <c r="M28" s="23" t="n"/>
      <c r="N28" s="26" t="n"/>
      <c r="O28" s="27">
        <f>IF(N(I28)=0,"",ROUND(N(K28)*N(N28),2))</f>
        <v/>
      </c>
      <c r="P28" s="23" t="n"/>
      <c r="Q28" s="23" t="n"/>
      <c r="R28" s="23" t="n"/>
    </row>
    <row r="29">
      <c r="A29" s="23" t="n"/>
      <c r="B29" s="23" t="n"/>
      <c r="C29" s="24" t="n"/>
      <c r="D29" s="24" t="n"/>
      <c r="E29" s="23" t="n"/>
      <c r="F29" s="23" t="n"/>
      <c r="G29" s="23" t="n"/>
      <c r="H29" s="23" t="n"/>
      <c r="I29" s="25" t="n"/>
      <c r="J29" s="26" t="n"/>
      <c r="K29" s="27">
        <f>IF(N(I29)=0,"",ROUND(I29*J29,2))</f>
        <v/>
      </c>
      <c r="L29" s="27">
        <f>IF(N(I29)=0,"",IF(P29="SI",I29,I29+N(K29)))</f>
        <v/>
      </c>
      <c r="M29" s="23" t="n"/>
      <c r="N29" s="26" t="n"/>
      <c r="O29" s="27">
        <f>IF(N(I29)=0,"",ROUND(N(K29)*N(N29),2))</f>
        <v/>
      </c>
      <c r="P29" s="23" t="n"/>
      <c r="Q29" s="23" t="n"/>
      <c r="R29" s="23" t="n"/>
    </row>
    <row r="30">
      <c r="A30" s="23" t="n"/>
      <c r="B30" s="23" t="n"/>
      <c r="C30" s="24" t="n"/>
      <c r="D30" s="24" t="n"/>
      <c r="E30" s="23" t="n"/>
      <c r="F30" s="23" t="n"/>
      <c r="G30" s="23" t="n"/>
      <c r="H30" s="23" t="n"/>
      <c r="I30" s="25" t="n"/>
      <c r="J30" s="26" t="n"/>
      <c r="K30" s="27">
        <f>IF(N(I30)=0,"",ROUND(I30*J30,2))</f>
        <v/>
      </c>
      <c r="L30" s="27">
        <f>IF(N(I30)=0,"",IF(P30="SI",I30,I30+N(K30)))</f>
        <v/>
      </c>
      <c r="M30" s="23" t="n"/>
      <c r="N30" s="26" t="n"/>
      <c r="O30" s="27">
        <f>IF(N(I30)=0,"",ROUND(N(K30)*N(N30),2))</f>
        <v/>
      </c>
      <c r="P30" s="23" t="n"/>
      <c r="Q30" s="23" t="n"/>
      <c r="R30" s="23" t="n"/>
    </row>
    <row r="31">
      <c r="A31" s="23" t="n"/>
      <c r="B31" s="23" t="n"/>
      <c r="C31" s="24" t="n"/>
      <c r="D31" s="24" t="n"/>
      <c r="E31" s="23" t="n"/>
      <c r="F31" s="23" t="n"/>
      <c r="G31" s="23" t="n"/>
      <c r="H31" s="23" t="n"/>
      <c r="I31" s="25" t="n"/>
      <c r="J31" s="26" t="n"/>
      <c r="K31" s="27">
        <f>IF(N(I31)=0,"",ROUND(I31*J31,2))</f>
        <v/>
      </c>
      <c r="L31" s="27">
        <f>IF(N(I31)=0,"",IF(P31="SI",I31,I31+N(K31)))</f>
        <v/>
      </c>
      <c r="M31" s="23" t="n"/>
      <c r="N31" s="26" t="n"/>
      <c r="O31" s="27">
        <f>IF(N(I31)=0,"",ROUND(N(K31)*N(N31),2))</f>
        <v/>
      </c>
      <c r="P31" s="23" t="n"/>
      <c r="Q31" s="23" t="n"/>
      <c r="R31" s="23" t="n"/>
    </row>
    <row r="32">
      <c r="A32" s="23" t="n"/>
      <c r="B32" s="23" t="n"/>
      <c r="C32" s="24" t="n"/>
      <c r="D32" s="24" t="n"/>
      <c r="E32" s="23" t="n"/>
      <c r="F32" s="23" t="n"/>
      <c r="G32" s="23" t="n"/>
      <c r="H32" s="23" t="n"/>
      <c r="I32" s="25" t="n"/>
      <c r="J32" s="26" t="n"/>
      <c r="K32" s="27">
        <f>IF(N(I32)=0,"",ROUND(I32*J32,2))</f>
        <v/>
      </c>
      <c r="L32" s="27">
        <f>IF(N(I32)=0,"",IF(P32="SI",I32,I32+N(K32)))</f>
        <v/>
      </c>
      <c r="M32" s="23" t="n"/>
      <c r="N32" s="26" t="n"/>
      <c r="O32" s="27">
        <f>IF(N(I32)=0,"",ROUND(N(K32)*N(N32),2))</f>
        <v/>
      </c>
      <c r="P32" s="23" t="n"/>
      <c r="Q32" s="23" t="n"/>
      <c r="R32" s="23" t="n"/>
    </row>
    <row r="33">
      <c r="A33" s="23" t="n"/>
      <c r="B33" s="23" t="n"/>
      <c r="C33" s="24" t="n"/>
      <c r="D33" s="24" t="n"/>
      <c r="E33" s="23" t="n"/>
      <c r="F33" s="23" t="n"/>
      <c r="G33" s="23" t="n"/>
      <c r="H33" s="23" t="n"/>
      <c r="I33" s="25" t="n"/>
      <c r="J33" s="26" t="n"/>
      <c r="K33" s="27">
        <f>IF(N(I33)=0,"",ROUND(I33*J33,2))</f>
        <v/>
      </c>
      <c r="L33" s="27">
        <f>IF(N(I33)=0,"",IF(P33="SI",I33,I33+N(K33)))</f>
        <v/>
      </c>
      <c r="M33" s="23" t="n"/>
      <c r="N33" s="26" t="n"/>
      <c r="O33" s="27">
        <f>IF(N(I33)=0,"",ROUND(N(K33)*N(N33),2))</f>
        <v/>
      </c>
      <c r="P33" s="23" t="n"/>
      <c r="Q33" s="23" t="n"/>
      <c r="R33" s="23" t="n"/>
    </row>
    <row r="34">
      <c r="A34" s="23" t="n"/>
      <c r="B34" s="23" t="n"/>
      <c r="C34" s="24" t="n"/>
      <c r="D34" s="24" t="n"/>
      <c r="E34" s="23" t="n"/>
      <c r="F34" s="23" t="n"/>
      <c r="G34" s="23" t="n"/>
      <c r="H34" s="23" t="n"/>
      <c r="I34" s="25" t="n"/>
      <c r="J34" s="26" t="n"/>
      <c r="K34" s="27">
        <f>IF(N(I34)=0,"",ROUND(I34*J34,2))</f>
        <v/>
      </c>
      <c r="L34" s="27">
        <f>IF(N(I34)=0,"",IF(P34="SI",I34,I34+N(K34)))</f>
        <v/>
      </c>
      <c r="M34" s="23" t="n"/>
      <c r="N34" s="26" t="n"/>
      <c r="O34" s="27">
        <f>IF(N(I34)=0,"",ROUND(N(K34)*N(N34),2))</f>
        <v/>
      </c>
      <c r="P34" s="23" t="n"/>
      <c r="Q34" s="23" t="n"/>
      <c r="R34" s="23" t="n"/>
    </row>
    <row r="35">
      <c r="A35" s="23" t="n"/>
      <c r="B35" s="23" t="n"/>
      <c r="C35" s="24" t="n"/>
      <c r="D35" s="24" t="n"/>
      <c r="E35" s="23" t="n"/>
      <c r="F35" s="23" t="n"/>
      <c r="G35" s="23" t="n"/>
      <c r="H35" s="23" t="n"/>
      <c r="I35" s="25" t="n"/>
      <c r="J35" s="26" t="n"/>
      <c r="K35" s="27">
        <f>IF(N(I35)=0,"",ROUND(I35*J35,2))</f>
        <v/>
      </c>
      <c r="L35" s="27">
        <f>IF(N(I35)=0,"",IF(P35="SI",I35,I35+N(K35)))</f>
        <v/>
      </c>
      <c r="M35" s="23" t="n"/>
      <c r="N35" s="26" t="n"/>
      <c r="O35" s="27">
        <f>IF(N(I35)=0,"",ROUND(N(K35)*N(N35),2))</f>
        <v/>
      </c>
      <c r="P35" s="23" t="n"/>
      <c r="Q35" s="23" t="n"/>
      <c r="R35" s="23" t="n"/>
    </row>
    <row r="36">
      <c r="A36" s="23" t="n"/>
      <c r="B36" s="23" t="n"/>
      <c r="C36" s="24" t="n"/>
      <c r="D36" s="24" t="n"/>
      <c r="E36" s="23" t="n"/>
      <c r="F36" s="23" t="n"/>
      <c r="G36" s="23" t="n"/>
      <c r="H36" s="23" t="n"/>
      <c r="I36" s="25" t="n"/>
      <c r="J36" s="26" t="n"/>
      <c r="K36" s="27">
        <f>IF(N(I36)=0,"",ROUND(I36*J36,2))</f>
        <v/>
      </c>
      <c r="L36" s="27">
        <f>IF(N(I36)=0,"",IF(P36="SI",I36,I36+N(K36)))</f>
        <v/>
      </c>
      <c r="M36" s="23" t="n"/>
      <c r="N36" s="26" t="n"/>
      <c r="O36" s="27">
        <f>IF(N(I36)=0,"",ROUND(N(K36)*N(N36),2))</f>
        <v/>
      </c>
      <c r="P36" s="23" t="n"/>
      <c r="Q36" s="23" t="n"/>
      <c r="R36" s="23" t="n"/>
    </row>
    <row r="37">
      <c r="A37" s="23" t="n"/>
      <c r="B37" s="23" t="n"/>
      <c r="C37" s="24" t="n"/>
      <c r="D37" s="24" t="n"/>
      <c r="E37" s="23" t="n"/>
      <c r="F37" s="23" t="n"/>
      <c r="G37" s="23" t="n"/>
      <c r="H37" s="23" t="n"/>
      <c r="I37" s="25" t="n"/>
      <c r="J37" s="26" t="n"/>
      <c r="K37" s="27">
        <f>IF(N(I37)=0,"",ROUND(I37*J37,2))</f>
        <v/>
      </c>
      <c r="L37" s="27">
        <f>IF(N(I37)=0,"",IF(P37="SI",I37,I37+N(K37)))</f>
        <v/>
      </c>
      <c r="M37" s="23" t="n"/>
      <c r="N37" s="26" t="n"/>
      <c r="O37" s="27">
        <f>IF(N(I37)=0,"",ROUND(N(K37)*N(N37),2))</f>
        <v/>
      </c>
      <c r="P37" s="23" t="n"/>
      <c r="Q37" s="23" t="n"/>
      <c r="R37" s="23" t="n"/>
    </row>
    <row r="38">
      <c r="A38" s="23" t="n"/>
      <c r="B38" s="23" t="n"/>
      <c r="C38" s="24" t="n"/>
      <c r="D38" s="24" t="n"/>
      <c r="E38" s="23" t="n"/>
      <c r="F38" s="23" t="n"/>
      <c r="G38" s="23" t="n"/>
      <c r="H38" s="23" t="n"/>
      <c r="I38" s="25" t="n"/>
      <c r="J38" s="26" t="n"/>
      <c r="K38" s="27">
        <f>IF(N(I38)=0,"",ROUND(I38*J38,2))</f>
        <v/>
      </c>
      <c r="L38" s="27">
        <f>IF(N(I38)=0,"",IF(P38="SI",I38,I38+N(K38)))</f>
        <v/>
      </c>
      <c r="M38" s="23" t="n"/>
      <c r="N38" s="26" t="n"/>
      <c r="O38" s="27">
        <f>IF(N(I38)=0,"",ROUND(N(K38)*N(N38),2))</f>
        <v/>
      </c>
      <c r="P38" s="23" t="n"/>
      <c r="Q38" s="23" t="n"/>
      <c r="R38" s="23" t="n"/>
    </row>
    <row r="39">
      <c r="A39" s="23" t="n"/>
      <c r="B39" s="23" t="n"/>
      <c r="C39" s="24" t="n"/>
      <c r="D39" s="24" t="n"/>
      <c r="E39" s="23" t="n"/>
      <c r="F39" s="23" t="n"/>
      <c r="G39" s="23" t="n"/>
      <c r="H39" s="23" t="n"/>
      <c r="I39" s="25" t="n"/>
      <c r="J39" s="26" t="n"/>
      <c r="K39" s="27">
        <f>IF(N(I39)=0,"",ROUND(I39*J39,2))</f>
        <v/>
      </c>
      <c r="L39" s="27">
        <f>IF(N(I39)=0,"",IF(P39="SI",I39,I39+N(K39)))</f>
        <v/>
      </c>
      <c r="M39" s="23" t="n"/>
      <c r="N39" s="26" t="n"/>
      <c r="O39" s="27">
        <f>IF(N(I39)=0,"",ROUND(N(K39)*N(N39),2))</f>
        <v/>
      </c>
      <c r="P39" s="23" t="n"/>
      <c r="Q39" s="23" t="n"/>
      <c r="R39" s="23" t="n"/>
    </row>
    <row r="40">
      <c r="A40" s="23" t="n"/>
      <c r="B40" s="23" t="n"/>
      <c r="C40" s="24" t="n"/>
      <c r="D40" s="24" t="n"/>
      <c r="E40" s="23" t="n"/>
      <c r="F40" s="23" t="n"/>
      <c r="G40" s="23" t="n"/>
      <c r="H40" s="23" t="n"/>
      <c r="I40" s="25" t="n"/>
      <c r="J40" s="26" t="n"/>
      <c r="K40" s="27">
        <f>IF(N(I40)=0,"",ROUND(I40*J40,2))</f>
        <v/>
      </c>
      <c r="L40" s="27">
        <f>IF(N(I40)=0,"",IF(P40="SI",I40,I40+N(K40)))</f>
        <v/>
      </c>
      <c r="M40" s="23" t="n"/>
      <c r="N40" s="26" t="n"/>
      <c r="O40" s="27">
        <f>IF(N(I40)=0,"",ROUND(N(K40)*N(N40),2))</f>
        <v/>
      </c>
      <c r="P40" s="23" t="n"/>
      <c r="Q40" s="23" t="n"/>
      <c r="R40" s="23" t="n"/>
    </row>
    <row r="41">
      <c r="A41" s="23" t="n"/>
      <c r="B41" s="23" t="n"/>
      <c r="C41" s="24" t="n"/>
      <c r="D41" s="24" t="n"/>
      <c r="E41" s="23" t="n"/>
      <c r="F41" s="23" t="n"/>
      <c r="G41" s="23" t="n"/>
      <c r="H41" s="23" t="n"/>
      <c r="I41" s="25" t="n"/>
      <c r="J41" s="26" t="n"/>
      <c r="K41" s="27">
        <f>IF(N(I41)=0,"",ROUND(I41*J41,2))</f>
        <v/>
      </c>
      <c r="L41" s="27">
        <f>IF(N(I41)=0,"",IF(P41="SI",I41,I41+N(K41)))</f>
        <v/>
      </c>
      <c r="M41" s="23" t="n"/>
      <c r="N41" s="26" t="n"/>
      <c r="O41" s="27">
        <f>IF(N(I41)=0,"",ROUND(N(K41)*N(N41),2))</f>
        <v/>
      </c>
      <c r="P41" s="23" t="n"/>
      <c r="Q41" s="23" t="n"/>
      <c r="R41" s="23" t="n"/>
    </row>
    <row r="42">
      <c r="A42" s="23" t="n"/>
      <c r="B42" s="23" t="n"/>
      <c r="C42" s="24" t="n"/>
      <c r="D42" s="24" t="n"/>
      <c r="E42" s="23" t="n"/>
      <c r="F42" s="23" t="n"/>
      <c r="G42" s="23" t="n"/>
      <c r="H42" s="23" t="n"/>
      <c r="I42" s="25" t="n"/>
      <c r="J42" s="26" t="n"/>
      <c r="K42" s="27">
        <f>IF(N(I42)=0,"",ROUND(I42*J42,2))</f>
        <v/>
      </c>
      <c r="L42" s="27">
        <f>IF(N(I42)=0,"",IF(P42="SI",I42,I42+N(K42)))</f>
        <v/>
      </c>
      <c r="M42" s="23" t="n"/>
      <c r="N42" s="26" t="n"/>
      <c r="O42" s="27">
        <f>IF(N(I42)=0,"",ROUND(N(K42)*N(N42),2))</f>
        <v/>
      </c>
      <c r="P42" s="23" t="n"/>
      <c r="Q42" s="23" t="n"/>
      <c r="R42" s="23" t="n"/>
    </row>
    <row r="43">
      <c r="A43" s="23" t="n"/>
      <c r="B43" s="23" t="n"/>
      <c r="C43" s="24" t="n"/>
      <c r="D43" s="24" t="n"/>
      <c r="E43" s="23" t="n"/>
      <c r="F43" s="23" t="n"/>
      <c r="G43" s="23" t="n"/>
      <c r="H43" s="23" t="n"/>
      <c r="I43" s="25" t="n"/>
      <c r="J43" s="26" t="n"/>
      <c r="K43" s="27">
        <f>IF(N(I43)=0,"",ROUND(I43*J43,2))</f>
        <v/>
      </c>
      <c r="L43" s="27">
        <f>IF(N(I43)=0,"",IF(P43="SI",I43,I43+N(K43)))</f>
        <v/>
      </c>
      <c r="M43" s="23" t="n"/>
      <c r="N43" s="26" t="n"/>
      <c r="O43" s="27">
        <f>IF(N(I43)=0,"",ROUND(N(K43)*N(N43),2))</f>
        <v/>
      </c>
      <c r="P43" s="23" t="n"/>
      <c r="Q43" s="23" t="n"/>
      <c r="R43" s="23" t="n"/>
    </row>
    <row r="44">
      <c r="A44" s="23" t="n"/>
      <c r="B44" s="23" t="n"/>
      <c r="C44" s="24" t="n"/>
      <c r="D44" s="24" t="n"/>
      <c r="E44" s="23" t="n"/>
      <c r="F44" s="23" t="n"/>
      <c r="G44" s="23" t="n"/>
      <c r="H44" s="23" t="n"/>
      <c r="I44" s="25" t="n"/>
      <c r="J44" s="26" t="n"/>
      <c r="K44" s="27">
        <f>IF(N(I44)=0,"",ROUND(I44*J44,2))</f>
        <v/>
      </c>
      <c r="L44" s="27">
        <f>IF(N(I44)=0,"",IF(P44="SI",I44,I44+N(K44)))</f>
        <v/>
      </c>
      <c r="M44" s="23" t="n"/>
      <c r="N44" s="26" t="n"/>
      <c r="O44" s="27">
        <f>IF(N(I44)=0,"",ROUND(N(K44)*N(N44),2))</f>
        <v/>
      </c>
      <c r="P44" s="23" t="n"/>
      <c r="Q44" s="23" t="n"/>
      <c r="R44" s="23" t="n"/>
    </row>
    <row r="45">
      <c r="A45" s="23" t="n"/>
      <c r="B45" s="23" t="n"/>
      <c r="C45" s="24" t="n"/>
      <c r="D45" s="24" t="n"/>
      <c r="E45" s="23" t="n"/>
      <c r="F45" s="23" t="n"/>
      <c r="G45" s="23" t="n"/>
      <c r="H45" s="23" t="n"/>
      <c r="I45" s="25" t="n"/>
      <c r="J45" s="26" t="n"/>
      <c r="K45" s="27">
        <f>IF(N(I45)=0,"",ROUND(I45*J45,2))</f>
        <v/>
      </c>
      <c r="L45" s="27">
        <f>IF(N(I45)=0,"",IF(P45="SI",I45,I45+N(K45)))</f>
        <v/>
      </c>
      <c r="M45" s="23" t="n"/>
      <c r="N45" s="26" t="n"/>
      <c r="O45" s="27">
        <f>IF(N(I45)=0,"",ROUND(N(K45)*N(N45),2))</f>
        <v/>
      </c>
      <c r="P45" s="23" t="n"/>
      <c r="Q45" s="23" t="n"/>
      <c r="R45" s="23" t="n"/>
    </row>
    <row r="46">
      <c r="A46" s="23" t="n"/>
      <c r="B46" s="23" t="n"/>
      <c r="C46" s="24" t="n"/>
      <c r="D46" s="24" t="n"/>
      <c r="E46" s="23" t="n"/>
      <c r="F46" s="23" t="n"/>
      <c r="G46" s="23" t="n"/>
      <c r="H46" s="23" t="n"/>
      <c r="I46" s="25" t="n"/>
      <c r="J46" s="26" t="n"/>
      <c r="K46" s="27">
        <f>IF(N(I46)=0,"",ROUND(I46*J46,2))</f>
        <v/>
      </c>
      <c r="L46" s="27">
        <f>IF(N(I46)=0,"",IF(P46="SI",I46,I46+N(K46)))</f>
        <v/>
      </c>
      <c r="M46" s="23" t="n"/>
      <c r="N46" s="26" t="n"/>
      <c r="O46" s="27">
        <f>IF(N(I46)=0,"",ROUND(N(K46)*N(N46),2))</f>
        <v/>
      </c>
      <c r="P46" s="23" t="n"/>
      <c r="Q46" s="23" t="n"/>
      <c r="R46" s="23" t="n"/>
    </row>
    <row r="47">
      <c r="A47" s="23" t="n"/>
      <c r="B47" s="23" t="n"/>
      <c r="C47" s="24" t="n"/>
      <c r="D47" s="24" t="n"/>
      <c r="E47" s="23" t="n"/>
      <c r="F47" s="23" t="n"/>
      <c r="G47" s="23" t="n"/>
      <c r="H47" s="23" t="n"/>
      <c r="I47" s="25" t="n"/>
      <c r="J47" s="26" t="n"/>
      <c r="K47" s="27">
        <f>IF(N(I47)=0,"",ROUND(I47*J47,2))</f>
        <v/>
      </c>
      <c r="L47" s="27">
        <f>IF(N(I47)=0,"",IF(P47="SI",I47,I47+N(K47)))</f>
        <v/>
      </c>
      <c r="M47" s="23" t="n"/>
      <c r="N47" s="26" t="n"/>
      <c r="O47" s="27">
        <f>IF(N(I47)=0,"",ROUND(N(K47)*N(N47),2))</f>
        <v/>
      </c>
      <c r="P47" s="23" t="n"/>
      <c r="Q47" s="23" t="n"/>
      <c r="R47" s="23" t="n"/>
    </row>
    <row r="48">
      <c r="A48" s="23" t="n"/>
      <c r="B48" s="23" t="n"/>
      <c r="C48" s="24" t="n"/>
      <c r="D48" s="24" t="n"/>
      <c r="E48" s="23" t="n"/>
      <c r="F48" s="23" t="n"/>
      <c r="G48" s="23" t="n"/>
      <c r="H48" s="23" t="n"/>
      <c r="I48" s="25" t="n"/>
      <c r="J48" s="26" t="n"/>
      <c r="K48" s="27">
        <f>IF(N(I48)=0,"",ROUND(I48*J48,2))</f>
        <v/>
      </c>
      <c r="L48" s="27">
        <f>IF(N(I48)=0,"",IF(P48="SI",I48,I48+N(K48)))</f>
        <v/>
      </c>
      <c r="M48" s="23" t="n"/>
      <c r="N48" s="26" t="n"/>
      <c r="O48" s="27">
        <f>IF(N(I48)=0,"",ROUND(N(K48)*N(N48),2))</f>
        <v/>
      </c>
      <c r="P48" s="23" t="n"/>
      <c r="Q48" s="23" t="n"/>
      <c r="R48" s="23" t="n"/>
    </row>
    <row r="49">
      <c r="A49" s="23" t="n"/>
      <c r="B49" s="23" t="n"/>
      <c r="C49" s="24" t="n"/>
      <c r="D49" s="24" t="n"/>
      <c r="E49" s="23" t="n"/>
      <c r="F49" s="23" t="n"/>
      <c r="G49" s="23" t="n"/>
      <c r="H49" s="23" t="n"/>
      <c r="I49" s="25" t="n"/>
      <c r="J49" s="26" t="n"/>
      <c r="K49" s="27">
        <f>IF(N(I49)=0,"",ROUND(I49*J49,2))</f>
        <v/>
      </c>
      <c r="L49" s="27">
        <f>IF(N(I49)=0,"",IF(P49="SI",I49,I49+N(K49)))</f>
        <v/>
      </c>
      <c r="M49" s="23" t="n"/>
      <c r="N49" s="26" t="n"/>
      <c r="O49" s="27">
        <f>IF(N(I49)=0,"",ROUND(N(K49)*N(N49),2))</f>
        <v/>
      </c>
      <c r="P49" s="23" t="n"/>
      <c r="Q49" s="23" t="n"/>
      <c r="R49" s="23" t="n"/>
    </row>
    <row r="50">
      <c r="A50" s="23" t="n"/>
      <c r="B50" s="23" t="n"/>
      <c r="C50" s="24" t="n"/>
      <c r="D50" s="24" t="n"/>
      <c r="E50" s="23" t="n"/>
      <c r="F50" s="23" t="n"/>
      <c r="G50" s="23" t="n"/>
      <c r="H50" s="23" t="n"/>
      <c r="I50" s="25" t="n"/>
      <c r="J50" s="26" t="n"/>
      <c r="K50" s="27">
        <f>IF(N(I50)=0,"",ROUND(I50*J50,2))</f>
        <v/>
      </c>
      <c r="L50" s="27">
        <f>IF(N(I50)=0,"",IF(P50="SI",I50,I50+N(K50)))</f>
        <v/>
      </c>
      <c r="M50" s="23" t="n"/>
      <c r="N50" s="26" t="n"/>
      <c r="O50" s="27">
        <f>IF(N(I50)=0,"",ROUND(N(K50)*N(N50),2))</f>
        <v/>
      </c>
      <c r="P50" s="23" t="n"/>
      <c r="Q50" s="23" t="n"/>
      <c r="R50" s="23" t="n"/>
    </row>
    <row r="51">
      <c r="A51" s="23" t="n"/>
      <c r="B51" s="23" t="n"/>
      <c r="C51" s="24" t="n"/>
      <c r="D51" s="24" t="n"/>
      <c r="E51" s="23" t="n"/>
      <c r="F51" s="23" t="n"/>
      <c r="G51" s="23" t="n"/>
      <c r="H51" s="23" t="n"/>
      <c r="I51" s="25" t="n"/>
      <c r="J51" s="26" t="n"/>
      <c r="K51" s="27">
        <f>IF(N(I51)=0,"",ROUND(I51*J51,2))</f>
        <v/>
      </c>
      <c r="L51" s="27">
        <f>IF(N(I51)=0,"",IF(P51="SI",I51,I51+N(K51)))</f>
        <v/>
      </c>
      <c r="M51" s="23" t="n"/>
      <c r="N51" s="26" t="n"/>
      <c r="O51" s="27">
        <f>IF(N(I51)=0,"",ROUND(N(K51)*N(N51),2))</f>
        <v/>
      </c>
      <c r="P51" s="23" t="n"/>
      <c r="Q51" s="23" t="n"/>
      <c r="R51" s="23" t="n"/>
    </row>
    <row r="52">
      <c r="A52" s="23" t="n"/>
      <c r="B52" s="23" t="n"/>
      <c r="C52" s="24" t="n"/>
      <c r="D52" s="24" t="n"/>
      <c r="E52" s="23" t="n"/>
      <c r="F52" s="23" t="n"/>
      <c r="G52" s="23" t="n"/>
      <c r="H52" s="23" t="n"/>
      <c r="I52" s="25" t="n"/>
      <c r="J52" s="26" t="n"/>
      <c r="K52" s="27">
        <f>IF(N(I52)=0,"",ROUND(I52*J52,2))</f>
        <v/>
      </c>
      <c r="L52" s="27">
        <f>IF(N(I52)=0,"",IF(P52="SI",I52,I52+N(K52)))</f>
        <v/>
      </c>
      <c r="M52" s="23" t="n"/>
      <c r="N52" s="26" t="n"/>
      <c r="O52" s="27">
        <f>IF(N(I52)=0,"",ROUND(N(K52)*N(N52),2))</f>
        <v/>
      </c>
      <c r="P52" s="23" t="n"/>
      <c r="Q52" s="23" t="n"/>
      <c r="R52" s="23" t="n"/>
    </row>
    <row r="53">
      <c r="A53" s="23" t="n"/>
      <c r="B53" s="23" t="n"/>
      <c r="C53" s="24" t="n"/>
      <c r="D53" s="24" t="n"/>
      <c r="E53" s="23" t="n"/>
      <c r="F53" s="23" t="n"/>
      <c r="G53" s="23" t="n"/>
      <c r="H53" s="23" t="n"/>
      <c r="I53" s="25" t="n"/>
      <c r="J53" s="26" t="n"/>
      <c r="K53" s="27">
        <f>IF(N(I53)=0,"",ROUND(I53*J53,2))</f>
        <v/>
      </c>
      <c r="L53" s="27">
        <f>IF(N(I53)=0,"",IF(P53="SI",I53,I53+N(K53)))</f>
        <v/>
      </c>
      <c r="M53" s="23" t="n"/>
      <c r="N53" s="26" t="n"/>
      <c r="O53" s="27">
        <f>IF(N(I53)=0,"",ROUND(N(K53)*N(N53),2))</f>
        <v/>
      </c>
      <c r="P53" s="23" t="n"/>
      <c r="Q53" s="23" t="n"/>
      <c r="R53" s="23" t="n"/>
    </row>
    <row r="54">
      <c r="A54" s="23" t="n"/>
      <c r="B54" s="23" t="n"/>
      <c r="C54" s="24" t="n"/>
      <c r="D54" s="24" t="n"/>
      <c r="E54" s="23" t="n"/>
      <c r="F54" s="23" t="n"/>
      <c r="G54" s="23" t="n"/>
      <c r="H54" s="23" t="n"/>
      <c r="I54" s="25" t="n"/>
      <c r="J54" s="26" t="n"/>
      <c r="K54" s="27">
        <f>IF(N(I54)=0,"",ROUND(I54*J54,2))</f>
        <v/>
      </c>
      <c r="L54" s="27">
        <f>IF(N(I54)=0,"",IF(P54="SI",I54,I54+N(K54)))</f>
        <v/>
      </c>
      <c r="M54" s="23" t="n"/>
      <c r="N54" s="26" t="n"/>
      <c r="O54" s="27">
        <f>IF(N(I54)=0,"",ROUND(N(K54)*N(N54),2))</f>
        <v/>
      </c>
      <c r="P54" s="23" t="n"/>
      <c r="Q54" s="23" t="n"/>
      <c r="R54" s="23" t="n"/>
    </row>
    <row r="55">
      <c r="A55" s="23" t="n"/>
      <c r="B55" s="23" t="n"/>
      <c r="C55" s="24" t="n"/>
      <c r="D55" s="24" t="n"/>
      <c r="E55" s="23" t="n"/>
      <c r="F55" s="23" t="n"/>
      <c r="G55" s="23" t="n"/>
      <c r="H55" s="23" t="n"/>
      <c r="I55" s="25" t="n"/>
      <c r="J55" s="26" t="n"/>
      <c r="K55" s="27">
        <f>IF(N(I55)=0,"",ROUND(I55*J55,2))</f>
        <v/>
      </c>
      <c r="L55" s="27">
        <f>IF(N(I55)=0,"",IF(P55="SI",I55,I55+N(K55)))</f>
        <v/>
      </c>
      <c r="M55" s="23" t="n"/>
      <c r="N55" s="26" t="n"/>
      <c r="O55" s="27">
        <f>IF(N(I55)=0,"",ROUND(N(K55)*N(N55),2))</f>
        <v/>
      </c>
      <c r="P55" s="23" t="n"/>
      <c r="Q55" s="23" t="n"/>
      <c r="R55" s="23" t="n"/>
    </row>
    <row r="56">
      <c r="A56" s="23" t="n"/>
      <c r="B56" s="23" t="n"/>
      <c r="C56" s="24" t="n"/>
      <c r="D56" s="24" t="n"/>
      <c r="E56" s="23" t="n"/>
      <c r="F56" s="23" t="n"/>
      <c r="G56" s="23" t="n"/>
      <c r="H56" s="23" t="n"/>
      <c r="I56" s="25" t="n"/>
      <c r="J56" s="26" t="n"/>
      <c r="K56" s="27">
        <f>IF(N(I56)=0,"",ROUND(I56*J56,2))</f>
        <v/>
      </c>
      <c r="L56" s="27">
        <f>IF(N(I56)=0,"",IF(P56="SI",I56,I56+N(K56)))</f>
        <v/>
      </c>
      <c r="M56" s="23" t="n"/>
      <c r="N56" s="26" t="n"/>
      <c r="O56" s="27">
        <f>IF(N(I56)=0,"",ROUND(N(K56)*N(N56),2))</f>
        <v/>
      </c>
      <c r="P56" s="23" t="n"/>
      <c r="Q56" s="23" t="n"/>
      <c r="R56" s="23" t="n"/>
    </row>
    <row r="57">
      <c r="A57" s="23" t="n"/>
      <c r="B57" s="23" t="n"/>
      <c r="C57" s="24" t="n"/>
      <c r="D57" s="24" t="n"/>
      <c r="E57" s="23" t="n"/>
      <c r="F57" s="23" t="n"/>
      <c r="G57" s="23" t="n"/>
      <c r="H57" s="23" t="n"/>
      <c r="I57" s="25" t="n"/>
      <c r="J57" s="26" t="n"/>
      <c r="K57" s="27">
        <f>IF(N(I57)=0,"",ROUND(I57*J57,2))</f>
        <v/>
      </c>
      <c r="L57" s="27">
        <f>IF(N(I57)=0,"",IF(P57="SI",I57,I57+N(K57)))</f>
        <v/>
      </c>
      <c r="M57" s="23" t="n"/>
      <c r="N57" s="26" t="n"/>
      <c r="O57" s="27">
        <f>IF(N(I57)=0,"",ROUND(N(K57)*N(N57),2))</f>
        <v/>
      </c>
      <c r="P57" s="23" t="n"/>
      <c r="Q57" s="23" t="n"/>
      <c r="R57" s="23" t="n"/>
    </row>
    <row r="58">
      <c r="A58" s="23" t="n"/>
      <c r="B58" s="23" t="n"/>
      <c r="C58" s="24" t="n"/>
      <c r="D58" s="24" t="n"/>
      <c r="E58" s="23" t="n"/>
      <c r="F58" s="23" t="n"/>
      <c r="G58" s="23" t="n"/>
      <c r="H58" s="23" t="n"/>
      <c r="I58" s="25" t="n"/>
      <c r="J58" s="26" t="n"/>
      <c r="K58" s="27">
        <f>IF(N(I58)=0,"",ROUND(I58*J58,2))</f>
        <v/>
      </c>
      <c r="L58" s="27">
        <f>IF(N(I58)=0,"",IF(P58="SI",I58,I58+N(K58)))</f>
        <v/>
      </c>
      <c r="M58" s="23" t="n"/>
      <c r="N58" s="26" t="n"/>
      <c r="O58" s="27">
        <f>IF(N(I58)=0,"",ROUND(N(K58)*N(N58),2))</f>
        <v/>
      </c>
      <c r="P58" s="23" t="n"/>
      <c r="Q58" s="23" t="n"/>
      <c r="R58" s="23" t="n"/>
    </row>
    <row r="59">
      <c r="A59" s="23" t="n"/>
      <c r="B59" s="23" t="n"/>
      <c r="C59" s="24" t="n"/>
      <c r="D59" s="24" t="n"/>
      <c r="E59" s="23" t="n"/>
      <c r="F59" s="23" t="n"/>
      <c r="G59" s="23" t="n"/>
      <c r="H59" s="23" t="n"/>
      <c r="I59" s="25" t="n"/>
      <c r="J59" s="26" t="n"/>
      <c r="K59" s="27">
        <f>IF(N(I59)=0,"",ROUND(I59*J59,2))</f>
        <v/>
      </c>
      <c r="L59" s="27">
        <f>IF(N(I59)=0,"",IF(P59="SI",I59,I59+N(K59)))</f>
        <v/>
      </c>
      <c r="M59" s="23" t="n"/>
      <c r="N59" s="26" t="n"/>
      <c r="O59" s="27">
        <f>IF(N(I59)=0,"",ROUND(N(K59)*N(N59),2))</f>
        <v/>
      </c>
      <c r="P59" s="23" t="n"/>
      <c r="Q59" s="23" t="n"/>
      <c r="R59" s="23" t="n"/>
    </row>
    <row r="60">
      <c r="A60" s="23" t="n"/>
      <c r="B60" s="23" t="n"/>
      <c r="C60" s="24" t="n"/>
      <c r="D60" s="24" t="n"/>
      <c r="E60" s="23" t="n"/>
      <c r="F60" s="23" t="n"/>
      <c r="G60" s="23" t="n"/>
      <c r="H60" s="23" t="n"/>
      <c r="I60" s="25" t="n"/>
      <c r="J60" s="26" t="n"/>
      <c r="K60" s="27">
        <f>IF(N(I60)=0,"",ROUND(I60*J60,2))</f>
        <v/>
      </c>
      <c r="L60" s="27">
        <f>IF(N(I60)=0,"",IF(P60="SI",I60,I60+N(K60)))</f>
        <v/>
      </c>
      <c r="M60" s="23" t="n"/>
      <c r="N60" s="26" t="n"/>
      <c r="O60" s="27">
        <f>IF(N(I60)=0,"",ROUND(N(K60)*N(N60),2))</f>
        <v/>
      </c>
      <c r="P60" s="23" t="n"/>
      <c r="Q60" s="23" t="n"/>
      <c r="R60" s="23" t="n"/>
    </row>
    <row r="61">
      <c r="A61" s="23" t="n"/>
      <c r="B61" s="23" t="n"/>
      <c r="C61" s="24" t="n"/>
      <c r="D61" s="24" t="n"/>
      <c r="E61" s="23" t="n"/>
      <c r="F61" s="23" t="n"/>
      <c r="G61" s="23" t="n"/>
      <c r="H61" s="23" t="n"/>
      <c r="I61" s="25" t="n"/>
      <c r="J61" s="26" t="n"/>
      <c r="K61" s="27">
        <f>IF(N(I61)=0,"",ROUND(I61*J61,2))</f>
        <v/>
      </c>
      <c r="L61" s="27">
        <f>IF(N(I61)=0,"",IF(P61="SI",I61,I61+N(K61)))</f>
        <v/>
      </c>
      <c r="M61" s="23" t="n"/>
      <c r="N61" s="26" t="n"/>
      <c r="O61" s="27">
        <f>IF(N(I61)=0,"",ROUND(N(K61)*N(N61),2))</f>
        <v/>
      </c>
      <c r="P61" s="23" t="n"/>
      <c r="Q61" s="23" t="n"/>
      <c r="R61" s="23" t="n"/>
    </row>
    <row r="62">
      <c r="A62" s="23" t="n"/>
      <c r="B62" s="23" t="n"/>
      <c r="C62" s="24" t="n"/>
      <c r="D62" s="24" t="n"/>
      <c r="E62" s="23" t="n"/>
      <c r="F62" s="23" t="n"/>
      <c r="G62" s="23" t="n"/>
      <c r="H62" s="23" t="n"/>
      <c r="I62" s="25" t="n"/>
      <c r="J62" s="26" t="n"/>
      <c r="K62" s="27">
        <f>IF(N(I62)=0,"",ROUND(I62*J62,2))</f>
        <v/>
      </c>
      <c r="L62" s="27">
        <f>IF(N(I62)=0,"",IF(P62="SI",I62,I62+N(K62)))</f>
        <v/>
      </c>
      <c r="M62" s="23" t="n"/>
      <c r="N62" s="26" t="n"/>
      <c r="O62" s="27">
        <f>IF(N(I62)=0,"",ROUND(N(K62)*N(N62),2))</f>
        <v/>
      </c>
      <c r="P62" s="23" t="n"/>
      <c r="Q62" s="23" t="n"/>
      <c r="R62" s="23" t="n"/>
    </row>
    <row r="63">
      <c r="A63" s="23" t="n"/>
      <c r="B63" s="23" t="n"/>
      <c r="C63" s="24" t="n"/>
      <c r="D63" s="24" t="n"/>
      <c r="E63" s="23" t="n"/>
      <c r="F63" s="23" t="n"/>
      <c r="G63" s="23" t="n"/>
      <c r="H63" s="23" t="n"/>
      <c r="I63" s="25" t="n"/>
      <c r="J63" s="26" t="n"/>
      <c r="K63" s="27">
        <f>IF(N(I63)=0,"",ROUND(I63*J63,2))</f>
        <v/>
      </c>
      <c r="L63" s="27">
        <f>IF(N(I63)=0,"",IF(P63="SI",I63,I63+N(K63)))</f>
        <v/>
      </c>
      <c r="M63" s="23" t="n"/>
      <c r="N63" s="26" t="n"/>
      <c r="O63" s="27">
        <f>IF(N(I63)=0,"",ROUND(N(K63)*N(N63),2))</f>
        <v/>
      </c>
      <c r="P63" s="23" t="n"/>
      <c r="Q63" s="23" t="n"/>
      <c r="R63" s="23" t="n"/>
    </row>
    <row r="64">
      <c r="A64" s="23" t="n"/>
      <c r="B64" s="23" t="n"/>
      <c r="C64" s="24" t="n"/>
      <c r="D64" s="24" t="n"/>
      <c r="E64" s="23" t="n"/>
      <c r="F64" s="23" t="n"/>
      <c r="G64" s="23" t="n"/>
      <c r="H64" s="23" t="n"/>
      <c r="I64" s="25" t="n"/>
      <c r="J64" s="26" t="n"/>
      <c r="K64" s="27">
        <f>IF(N(I64)=0,"",ROUND(I64*J64,2))</f>
        <v/>
      </c>
      <c r="L64" s="27">
        <f>IF(N(I64)=0,"",IF(P64="SI",I64,I64+N(K64)))</f>
        <v/>
      </c>
      <c r="M64" s="23" t="n"/>
      <c r="N64" s="26" t="n"/>
      <c r="O64" s="27">
        <f>IF(N(I64)=0,"",ROUND(N(K64)*N(N64),2))</f>
        <v/>
      </c>
      <c r="P64" s="23" t="n"/>
      <c r="Q64" s="23" t="n"/>
      <c r="R64" s="23" t="n"/>
    </row>
    <row r="65">
      <c r="A65" s="23" t="n"/>
      <c r="B65" s="23" t="n"/>
      <c r="C65" s="24" t="n"/>
      <c r="D65" s="24" t="n"/>
      <c r="E65" s="23" t="n"/>
      <c r="F65" s="23" t="n"/>
      <c r="G65" s="23" t="n"/>
      <c r="H65" s="23" t="n"/>
      <c r="I65" s="25" t="n"/>
      <c r="J65" s="26" t="n"/>
      <c r="K65" s="27">
        <f>IF(N(I65)=0,"",ROUND(I65*J65,2))</f>
        <v/>
      </c>
      <c r="L65" s="27">
        <f>IF(N(I65)=0,"",IF(P65="SI",I65,I65+N(K65)))</f>
        <v/>
      </c>
      <c r="M65" s="23" t="n"/>
      <c r="N65" s="26" t="n"/>
      <c r="O65" s="27">
        <f>IF(N(I65)=0,"",ROUND(N(K65)*N(N65),2))</f>
        <v/>
      </c>
      <c r="P65" s="23" t="n"/>
      <c r="Q65" s="23" t="n"/>
      <c r="R65" s="23" t="n"/>
    </row>
    <row r="66">
      <c r="A66" s="23" t="n"/>
      <c r="B66" s="23" t="n"/>
      <c r="C66" s="24" t="n"/>
      <c r="D66" s="24" t="n"/>
      <c r="E66" s="23" t="n"/>
      <c r="F66" s="23" t="n"/>
      <c r="G66" s="23" t="n"/>
      <c r="H66" s="23" t="n"/>
      <c r="I66" s="25" t="n"/>
      <c r="J66" s="26" t="n"/>
      <c r="K66" s="27">
        <f>IF(N(I66)=0,"",ROUND(I66*J66,2))</f>
        <v/>
      </c>
      <c r="L66" s="27">
        <f>IF(N(I66)=0,"",IF(P66="SI",I66,I66+N(K66)))</f>
        <v/>
      </c>
      <c r="M66" s="23" t="n"/>
      <c r="N66" s="26" t="n"/>
      <c r="O66" s="27">
        <f>IF(N(I66)=0,"",ROUND(N(K66)*N(N66),2))</f>
        <v/>
      </c>
      <c r="P66" s="23" t="n"/>
      <c r="Q66" s="23" t="n"/>
      <c r="R66" s="23" t="n"/>
    </row>
    <row r="67">
      <c r="A67" s="23" t="n"/>
      <c r="B67" s="23" t="n"/>
      <c r="C67" s="24" t="n"/>
      <c r="D67" s="24" t="n"/>
      <c r="E67" s="23" t="n"/>
      <c r="F67" s="23" t="n"/>
      <c r="G67" s="23" t="n"/>
      <c r="H67" s="23" t="n"/>
      <c r="I67" s="25" t="n"/>
      <c r="J67" s="26" t="n"/>
      <c r="K67" s="27">
        <f>IF(N(I67)=0,"",ROUND(I67*J67,2))</f>
        <v/>
      </c>
      <c r="L67" s="27">
        <f>IF(N(I67)=0,"",IF(P67="SI",I67,I67+N(K67)))</f>
        <v/>
      </c>
      <c r="M67" s="23" t="n"/>
      <c r="N67" s="26" t="n"/>
      <c r="O67" s="27">
        <f>IF(N(I67)=0,"",ROUND(N(K67)*N(N67),2))</f>
        <v/>
      </c>
      <c r="P67" s="23" t="n"/>
      <c r="Q67" s="23" t="n"/>
      <c r="R67" s="23" t="n"/>
    </row>
    <row r="68">
      <c r="A68" s="23" t="n"/>
      <c r="B68" s="23" t="n"/>
      <c r="C68" s="24" t="n"/>
      <c r="D68" s="24" t="n"/>
      <c r="E68" s="23" t="n"/>
      <c r="F68" s="23" t="n"/>
      <c r="G68" s="23" t="n"/>
      <c r="H68" s="23" t="n"/>
      <c r="I68" s="25" t="n"/>
      <c r="J68" s="26" t="n"/>
      <c r="K68" s="27">
        <f>IF(N(I68)=0,"",ROUND(I68*J68,2))</f>
        <v/>
      </c>
      <c r="L68" s="27">
        <f>IF(N(I68)=0,"",IF(P68="SI",I68,I68+N(K68)))</f>
        <v/>
      </c>
      <c r="M68" s="23" t="n"/>
      <c r="N68" s="26" t="n"/>
      <c r="O68" s="27">
        <f>IF(N(I68)=0,"",ROUND(N(K68)*N(N68),2))</f>
        <v/>
      </c>
      <c r="P68" s="23" t="n"/>
      <c r="Q68" s="23" t="n"/>
      <c r="R68" s="23" t="n"/>
    </row>
    <row r="69">
      <c r="A69" s="23" t="n"/>
      <c r="B69" s="23" t="n"/>
      <c r="C69" s="24" t="n"/>
      <c r="D69" s="24" t="n"/>
      <c r="E69" s="23" t="n"/>
      <c r="F69" s="23" t="n"/>
      <c r="G69" s="23" t="n"/>
      <c r="H69" s="23" t="n"/>
      <c r="I69" s="25" t="n"/>
      <c r="J69" s="26" t="n"/>
      <c r="K69" s="27">
        <f>IF(N(I69)=0,"",ROUND(I69*J69,2))</f>
        <v/>
      </c>
      <c r="L69" s="27">
        <f>IF(N(I69)=0,"",IF(P69="SI",I69,I69+N(K69)))</f>
        <v/>
      </c>
      <c r="M69" s="23" t="n"/>
      <c r="N69" s="26" t="n"/>
      <c r="O69" s="27">
        <f>IF(N(I69)=0,"",ROUND(N(K69)*N(N69),2))</f>
        <v/>
      </c>
      <c r="P69" s="23" t="n"/>
      <c r="Q69" s="23" t="n"/>
      <c r="R69" s="23" t="n"/>
    </row>
    <row r="70">
      <c r="A70" s="23" t="n"/>
      <c r="B70" s="23" t="n"/>
      <c r="C70" s="24" t="n"/>
      <c r="D70" s="24" t="n"/>
      <c r="E70" s="23" t="n"/>
      <c r="F70" s="23" t="n"/>
      <c r="G70" s="23" t="n"/>
      <c r="H70" s="23" t="n"/>
      <c r="I70" s="25" t="n"/>
      <c r="J70" s="26" t="n"/>
      <c r="K70" s="27">
        <f>IF(N(I70)=0,"",ROUND(I70*J70,2))</f>
        <v/>
      </c>
      <c r="L70" s="27">
        <f>IF(N(I70)=0,"",IF(P70="SI",I70,I70+N(K70)))</f>
        <v/>
      </c>
      <c r="M70" s="23" t="n"/>
      <c r="N70" s="26" t="n"/>
      <c r="O70" s="27">
        <f>IF(N(I70)=0,"",ROUND(N(K70)*N(N70),2))</f>
        <v/>
      </c>
      <c r="P70" s="23" t="n"/>
      <c r="Q70" s="23" t="n"/>
      <c r="R70" s="23" t="n"/>
    </row>
    <row r="71">
      <c r="A71" s="23" t="n"/>
      <c r="B71" s="23" t="n"/>
      <c r="C71" s="24" t="n"/>
      <c r="D71" s="24" t="n"/>
      <c r="E71" s="23" t="n"/>
      <c r="F71" s="23" t="n"/>
      <c r="G71" s="23" t="n"/>
      <c r="H71" s="23" t="n"/>
      <c r="I71" s="25" t="n"/>
      <c r="J71" s="26" t="n"/>
      <c r="K71" s="27">
        <f>IF(N(I71)=0,"",ROUND(I71*J71,2))</f>
        <v/>
      </c>
      <c r="L71" s="27">
        <f>IF(N(I71)=0,"",IF(P71="SI",I71,I71+N(K71)))</f>
        <v/>
      </c>
      <c r="M71" s="23" t="n"/>
      <c r="N71" s="26" t="n"/>
      <c r="O71" s="27">
        <f>IF(N(I71)=0,"",ROUND(N(K71)*N(N71),2))</f>
        <v/>
      </c>
      <c r="P71" s="23" t="n"/>
      <c r="Q71" s="23" t="n"/>
      <c r="R71" s="23" t="n"/>
    </row>
    <row r="72">
      <c r="A72" s="23" t="n"/>
      <c r="B72" s="23" t="n"/>
      <c r="C72" s="24" t="n"/>
      <c r="D72" s="24" t="n"/>
      <c r="E72" s="23" t="n"/>
      <c r="F72" s="23" t="n"/>
      <c r="G72" s="23" t="n"/>
      <c r="H72" s="23" t="n"/>
      <c r="I72" s="25" t="n"/>
      <c r="J72" s="26" t="n"/>
      <c r="K72" s="27">
        <f>IF(N(I72)=0,"",ROUND(I72*J72,2))</f>
        <v/>
      </c>
      <c r="L72" s="27">
        <f>IF(N(I72)=0,"",IF(P72="SI",I72,I72+N(K72)))</f>
        <v/>
      </c>
      <c r="M72" s="23" t="n"/>
      <c r="N72" s="26" t="n"/>
      <c r="O72" s="27">
        <f>IF(N(I72)=0,"",ROUND(N(K72)*N(N72),2))</f>
        <v/>
      </c>
      <c r="P72" s="23" t="n"/>
      <c r="Q72" s="23" t="n"/>
      <c r="R72" s="23" t="n"/>
    </row>
    <row r="73">
      <c r="A73" s="23" t="n"/>
      <c r="B73" s="23" t="n"/>
      <c r="C73" s="24" t="n"/>
      <c r="D73" s="24" t="n"/>
      <c r="E73" s="23" t="n"/>
      <c r="F73" s="23" t="n"/>
      <c r="G73" s="23" t="n"/>
      <c r="H73" s="23" t="n"/>
      <c r="I73" s="25" t="n"/>
      <c r="J73" s="26" t="n"/>
      <c r="K73" s="27">
        <f>IF(N(I73)=0,"",ROUND(I73*J73,2))</f>
        <v/>
      </c>
      <c r="L73" s="27">
        <f>IF(N(I73)=0,"",IF(P73="SI",I73,I73+N(K73)))</f>
        <v/>
      </c>
      <c r="M73" s="23" t="n"/>
      <c r="N73" s="26" t="n"/>
      <c r="O73" s="27">
        <f>IF(N(I73)=0,"",ROUND(N(K73)*N(N73),2))</f>
        <v/>
      </c>
      <c r="P73" s="23" t="n"/>
      <c r="Q73" s="23" t="n"/>
      <c r="R73" s="23" t="n"/>
    </row>
    <row r="74">
      <c r="A74" s="23" t="n"/>
      <c r="B74" s="23" t="n"/>
      <c r="C74" s="24" t="n"/>
      <c r="D74" s="24" t="n"/>
      <c r="E74" s="23" t="n"/>
      <c r="F74" s="23" t="n"/>
      <c r="G74" s="23" t="n"/>
      <c r="H74" s="23" t="n"/>
      <c r="I74" s="25" t="n"/>
      <c r="J74" s="26" t="n"/>
      <c r="K74" s="27">
        <f>IF(N(I74)=0,"",ROUND(I74*J74,2))</f>
        <v/>
      </c>
      <c r="L74" s="27">
        <f>IF(N(I74)=0,"",IF(P74="SI",I74,I74+N(K74)))</f>
        <v/>
      </c>
      <c r="M74" s="23" t="n"/>
      <c r="N74" s="26" t="n"/>
      <c r="O74" s="27">
        <f>IF(N(I74)=0,"",ROUND(N(K74)*N(N74),2))</f>
        <v/>
      </c>
      <c r="P74" s="23" t="n"/>
      <c r="Q74" s="23" t="n"/>
      <c r="R74" s="23" t="n"/>
    </row>
    <row r="75">
      <c r="A75" s="23" t="n"/>
      <c r="B75" s="23" t="n"/>
      <c r="C75" s="24" t="n"/>
      <c r="D75" s="24" t="n"/>
      <c r="E75" s="23" t="n"/>
      <c r="F75" s="23" t="n"/>
      <c r="G75" s="23" t="n"/>
      <c r="H75" s="23" t="n"/>
      <c r="I75" s="25" t="n"/>
      <c r="J75" s="26" t="n"/>
      <c r="K75" s="27">
        <f>IF(N(I75)=0,"",ROUND(I75*J75,2))</f>
        <v/>
      </c>
      <c r="L75" s="27">
        <f>IF(N(I75)=0,"",IF(P75="SI",I75,I75+N(K75)))</f>
        <v/>
      </c>
      <c r="M75" s="23" t="n"/>
      <c r="N75" s="26" t="n"/>
      <c r="O75" s="27">
        <f>IF(N(I75)=0,"",ROUND(N(K75)*N(N75),2))</f>
        <v/>
      </c>
      <c r="P75" s="23" t="n"/>
      <c r="Q75" s="23" t="n"/>
      <c r="R75" s="23" t="n"/>
    </row>
    <row r="76">
      <c r="A76" s="23" t="n"/>
      <c r="B76" s="23" t="n"/>
      <c r="C76" s="24" t="n"/>
      <c r="D76" s="24" t="n"/>
      <c r="E76" s="23" t="n"/>
      <c r="F76" s="23" t="n"/>
      <c r="G76" s="23" t="n"/>
      <c r="H76" s="23" t="n"/>
      <c r="I76" s="25" t="n"/>
      <c r="J76" s="26" t="n"/>
      <c r="K76" s="27">
        <f>IF(N(I76)=0,"",ROUND(I76*J76,2))</f>
        <v/>
      </c>
      <c r="L76" s="27">
        <f>IF(N(I76)=0,"",IF(P76="SI",I76,I76+N(K76)))</f>
        <v/>
      </c>
      <c r="M76" s="23" t="n"/>
      <c r="N76" s="26" t="n"/>
      <c r="O76" s="27">
        <f>IF(N(I76)=0,"",ROUND(N(K76)*N(N76),2))</f>
        <v/>
      </c>
      <c r="P76" s="23" t="n"/>
      <c r="Q76" s="23" t="n"/>
      <c r="R76" s="23" t="n"/>
    </row>
    <row r="77">
      <c r="A77" s="23" t="n"/>
      <c r="B77" s="23" t="n"/>
      <c r="C77" s="24" t="n"/>
      <c r="D77" s="24" t="n"/>
      <c r="E77" s="23" t="n"/>
      <c r="F77" s="23" t="n"/>
      <c r="G77" s="23" t="n"/>
      <c r="H77" s="23" t="n"/>
      <c r="I77" s="25" t="n"/>
      <c r="J77" s="26" t="n"/>
      <c r="K77" s="27">
        <f>IF(N(I77)=0,"",ROUND(I77*J77,2))</f>
        <v/>
      </c>
      <c r="L77" s="27">
        <f>IF(N(I77)=0,"",IF(P77="SI",I77,I77+N(K77)))</f>
        <v/>
      </c>
      <c r="M77" s="23" t="n"/>
      <c r="N77" s="26" t="n"/>
      <c r="O77" s="27">
        <f>IF(N(I77)=0,"",ROUND(N(K77)*N(N77),2))</f>
        <v/>
      </c>
      <c r="P77" s="23" t="n"/>
      <c r="Q77" s="23" t="n"/>
      <c r="R77" s="23" t="n"/>
    </row>
    <row r="78">
      <c r="A78" s="23" t="n"/>
      <c r="B78" s="23" t="n"/>
      <c r="C78" s="24" t="n"/>
      <c r="D78" s="24" t="n"/>
      <c r="E78" s="23" t="n"/>
      <c r="F78" s="23" t="n"/>
      <c r="G78" s="23" t="n"/>
      <c r="H78" s="23" t="n"/>
      <c r="I78" s="25" t="n"/>
      <c r="J78" s="26" t="n"/>
      <c r="K78" s="27">
        <f>IF(N(I78)=0,"",ROUND(I78*J78,2))</f>
        <v/>
      </c>
      <c r="L78" s="27">
        <f>IF(N(I78)=0,"",IF(P78="SI",I78,I78+N(K78)))</f>
        <v/>
      </c>
      <c r="M78" s="23" t="n"/>
      <c r="N78" s="26" t="n"/>
      <c r="O78" s="27">
        <f>IF(N(I78)=0,"",ROUND(N(K78)*N(N78),2))</f>
        <v/>
      </c>
      <c r="P78" s="23" t="n"/>
      <c r="Q78" s="23" t="n"/>
      <c r="R78" s="23" t="n"/>
    </row>
    <row r="79">
      <c r="A79" s="23" t="n"/>
      <c r="B79" s="23" t="n"/>
      <c r="C79" s="24" t="n"/>
      <c r="D79" s="24" t="n"/>
      <c r="E79" s="23" t="n"/>
      <c r="F79" s="23" t="n"/>
      <c r="G79" s="23" t="n"/>
      <c r="H79" s="23" t="n"/>
      <c r="I79" s="25" t="n"/>
      <c r="J79" s="26" t="n"/>
      <c r="K79" s="27">
        <f>IF(N(I79)=0,"",ROUND(I79*J79,2))</f>
        <v/>
      </c>
      <c r="L79" s="27">
        <f>IF(N(I79)=0,"",IF(P79="SI",I79,I79+N(K79)))</f>
        <v/>
      </c>
      <c r="M79" s="23" t="n"/>
      <c r="N79" s="26" t="n"/>
      <c r="O79" s="27">
        <f>IF(N(I79)=0,"",ROUND(N(K79)*N(N79),2))</f>
        <v/>
      </c>
      <c r="P79" s="23" t="n"/>
      <c r="Q79" s="23" t="n"/>
      <c r="R79" s="23" t="n"/>
    </row>
    <row r="80">
      <c r="A80" s="23" t="n"/>
      <c r="B80" s="23" t="n"/>
      <c r="C80" s="24" t="n"/>
      <c r="D80" s="24" t="n"/>
      <c r="E80" s="23" t="n"/>
      <c r="F80" s="23" t="n"/>
      <c r="G80" s="23" t="n"/>
      <c r="H80" s="23" t="n"/>
      <c r="I80" s="25" t="n"/>
      <c r="J80" s="26" t="n"/>
      <c r="K80" s="27">
        <f>IF(N(I80)=0,"",ROUND(I80*J80,2))</f>
        <v/>
      </c>
      <c r="L80" s="27">
        <f>IF(N(I80)=0,"",IF(P80="SI",I80,I80+N(K80)))</f>
        <v/>
      </c>
      <c r="M80" s="23" t="n"/>
      <c r="N80" s="26" t="n"/>
      <c r="O80" s="27">
        <f>IF(N(I80)=0,"",ROUND(N(K80)*N(N80),2))</f>
        <v/>
      </c>
      <c r="P80" s="23" t="n"/>
      <c r="Q80" s="23" t="n"/>
      <c r="R80" s="23" t="n"/>
    </row>
    <row r="81">
      <c r="A81" s="23" t="n"/>
      <c r="B81" s="23" t="n"/>
      <c r="C81" s="24" t="n"/>
      <c r="D81" s="24" t="n"/>
      <c r="E81" s="23" t="n"/>
      <c r="F81" s="23" t="n"/>
      <c r="G81" s="23" t="n"/>
      <c r="H81" s="23" t="n"/>
      <c r="I81" s="25" t="n"/>
      <c r="J81" s="26" t="n"/>
      <c r="K81" s="27">
        <f>IF(N(I81)=0,"",ROUND(I81*J81,2))</f>
        <v/>
      </c>
      <c r="L81" s="27">
        <f>IF(N(I81)=0,"",IF(P81="SI",I81,I81+N(K81)))</f>
        <v/>
      </c>
      <c r="M81" s="23" t="n"/>
      <c r="N81" s="26" t="n"/>
      <c r="O81" s="27">
        <f>IF(N(I81)=0,"",ROUND(N(K81)*N(N81),2))</f>
        <v/>
      </c>
      <c r="P81" s="23" t="n"/>
      <c r="Q81" s="23" t="n"/>
      <c r="R81" s="23" t="n"/>
    </row>
    <row r="82">
      <c r="A82" s="23" t="n"/>
      <c r="B82" s="23" t="n"/>
      <c r="C82" s="24" t="n"/>
      <c r="D82" s="24" t="n"/>
      <c r="E82" s="23" t="n"/>
      <c r="F82" s="23" t="n"/>
      <c r="G82" s="23" t="n"/>
      <c r="H82" s="23" t="n"/>
      <c r="I82" s="25" t="n"/>
      <c r="J82" s="26" t="n"/>
      <c r="K82" s="27">
        <f>IF(N(I82)=0,"",ROUND(I82*J82,2))</f>
        <v/>
      </c>
      <c r="L82" s="27">
        <f>IF(N(I82)=0,"",IF(P82="SI",I82,I82+N(K82)))</f>
        <v/>
      </c>
      <c r="M82" s="23" t="n"/>
      <c r="N82" s="26" t="n"/>
      <c r="O82" s="27">
        <f>IF(N(I82)=0,"",ROUND(N(K82)*N(N82),2))</f>
        <v/>
      </c>
      <c r="P82" s="23" t="n"/>
      <c r="Q82" s="23" t="n"/>
      <c r="R82" s="23" t="n"/>
    </row>
    <row r="83">
      <c r="A83" s="23" t="n"/>
      <c r="B83" s="23" t="n"/>
      <c r="C83" s="24" t="n"/>
      <c r="D83" s="24" t="n"/>
      <c r="E83" s="23" t="n"/>
      <c r="F83" s="23" t="n"/>
      <c r="G83" s="23" t="n"/>
      <c r="H83" s="23" t="n"/>
      <c r="I83" s="25" t="n"/>
      <c r="J83" s="26" t="n"/>
      <c r="K83" s="27">
        <f>IF(N(I83)=0,"",ROUND(I83*J83,2))</f>
        <v/>
      </c>
      <c r="L83" s="27">
        <f>IF(N(I83)=0,"",IF(P83="SI",I83,I83+N(K83)))</f>
        <v/>
      </c>
      <c r="M83" s="23" t="n"/>
      <c r="N83" s="26" t="n"/>
      <c r="O83" s="27">
        <f>IF(N(I83)=0,"",ROUND(N(K83)*N(N83),2))</f>
        <v/>
      </c>
      <c r="P83" s="23" t="n"/>
      <c r="Q83" s="23" t="n"/>
      <c r="R83" s="23" t="n"/>
    </row>
    <row r="84">
      <c r="A84" s="23" t="n"/>
      <c r="B84" s="23" t="n"/>
      <c r="C84" s="24" t="n"/>
      <c r="D84" s="24" t="n"/>
      <c r="E84" s="23" t="n"/>
      <c r="F84" s="23" t="n"/>
      <c r="G84" s="23" t="n"/>
      <c r="H84" s="23" t="n"/>
      <c r="I84" s="25" t="n"/>
      <c r="J84" s="26" t="n"/>
      <c r="K84" s="27">
        <f>IF(N(I84)=0,"",ROUND(I84*J84,2))</f>
        <v/>
      </c>
      <c r="L84" s="27">
        <f>IF(N(I84)=0,"",IF(P84="SI",I84,I84+N(K84)))</f>
        <v/>
      </c>
      <c r="M84" s="23" t="n"/>
      <c r="N84" s="26" t="n"/>
      <c r="O84" s="27">
        <f>IF(N(I84)=0,"",ROUND(N(K84)*N(N84),2))</f>
        <v/>
      </c>
      <c r="P84" s="23" t="n"/>
      <c r="Q84" s="23" t="n"/>
      <c r="R84" s="23" t="n"/>
    </row>
    <row r="85">
      <c r="A85" s="23" t="n"/>
      <c r="B85" s="23" t="n"/>
      <c r="C85" s="24" t="n"/>
      <c r="D85" s="24" t="n"/>
      <c r="E85" s="23" t="n"/>
      <c r="F85" s="23" t="n"/>
      <c r="G85" s="23" t="n"/>
      <c r="H85" s="23" t="n"/>
      <c r="I85" s="25" t="n"/>
      <c r="J85" s="26" t="n"/>
      <c r="K85" s="27">
        <f>IF(N(I85)=0,"",ROUND(I85*J85,2))</f>
        <v/>
      </c>
      <c r="L85" s="27">
        <f>IF(N(I85)=0,"",IF(P85="SI",I85,I85+N(K85)))</f>
        <v/>
      </c>
      <c r="M85" s="23" t="n"/>
      <c r="N85" s="26" t="n"/>
      <c r="O85" s="27">
        <f>IF(N(I85)=0,"",ROUND(N(K85)*N(N85),2))</f>
        <v/>
      </c>
      <c r="P85" s="23" t="n"/>
      <c r="Q85" s="23" t="n"/>
      <c r="R85" s="23" t="n"/>
    </row>
    <row r="86">
      <c r="A86" s="23" t="n"/>
      <c r="B86" s="23" t="n"/>
      <c r="C86" s="24" t="n"/>
      <c r="D86" s="24" t="n"/>
      <c r="E86" s="23" t="n"/>
      <c r="F86" s="23" t="n"/>
      <c r="G86" s="23" t="n"/>
      <c r="H86" s="23" t="n"/>
      <c r="I86" s="25" t="n"/>
      <c r="J86" s="26" t="n"/>
      <c r="K86" s="27">
        <f>IF(N(I86)=0,"",ROUND(I86*J86,2))</f>
        <v/>
      </c>
      <c r="L86" s="27">
        <f>IF(N(I86)=0,"",IF(P86="SI",I86,I86+N(K86)))</f>
        <v/>
      </c>
      <c r="M86" s="23" t="n"/>
      <c r="N86" s="26" t="n"/>
      <c r="O86" s="27">
        <f>IF(N(I86)=0,"",ROUND(N(K86)*N(N86),2))</f>
        <v/>
      </c>
      <c r="P86" s="23" t="n"/>
      <c r="Q86" s="23" t="n"/>
      <c r="R86" s="23" t="n"/>
    </row>
    <row r="87">
      <c r="A87" s="23" t="n"/>
      <c r="B87" s="23" t="n"/>
      <c r="C87" s="24" t="n"/>
      <c r="D87" s="24" t="n"/>
      <c r="E87" s="23" t="n"/>
      <c r="F87" s="23" t="n"/>
      <c r="G87" s="23" t="n"/>
      <c r="H87" s="23" t="n"/>
      <c r="I87" s="25" t="n"/>
      <c r="J87" s="26" t="n"/>
      <c r="K87" s="27">
        <f>IF(N(I87)=0,"",ROUND(I87*J87,2))</f>
        <v/>
      </c>
      <c r="L87" s="27">
        <f>IF(N(I87)=0,"",IF(P87="SI",I87,I87+N(K87)))</f>
        <v/>
      </c>
      <c r="M87" s="23" t="n"/>
      <c r="N87" s="26" t="n"/>
      <c r="O87" s="27">
        <f>IF(N(I87)=0,"",ROUND(N(K87)*N(N87),2))</f>
        <v/>
      </c>
      <c r="P87" s="23" t="n"/>
      <c r="Q87" s="23" t="n"/>
      <c r="R87" s="23" t="n"/>
    </row>
    <row r="88">
      <c r="A88" s="23" t="n"/>
      <c r="B88" s="23" t="n"/>
      <c r="C88" s="24" t="n"/>
      <c r="D88" s="24" t="n"/>
      <c r="E88" s="23" t="n"/>
      <c r="F88" s="23" t="n"/>
      <c r="G88" s="23" t="n"/>
      <c r="H88" s="23" t="n"/>
      <c r="I88" s="25" t="n"/>
      <c r="J88" s="26" t="n"/>
      <c r="K88" s="27">
        <f>IF(N(I88)=0,"",ROUND(I88*J88,2))</f>
        <v/>
      </c>
      <c r="L88" s="27">
        <f>IF(N(I88)=0,"",IF(P88="SI",I88,I88+N(K88)))</f>
        <v/>
      </c>
      <c r="M88" s="23" t="n"/>
      <c r="N88" s="26" t="n"/>
      <c r="O88" s="27">
        <f>IF(N(I88)=0,"",ROUND(N(K88)*N(N88),2))</f>
        <v/>
      </c>
      <c r="P88" s="23" t="n"/>
      <c r="Q88" s="23" t="n"/>
      <c r="R88" s="23" t="n"/>
    </row>
    <row r="89">
      <c r="A89" s="23" t="n"/>
      <c r="B89" s="23" t="n"/>
      <c r="C89" s="24" t="n"/>
      <c r="D89" s="24" t="n"/>
      <c r="E89" s="23" t="n"/>
      <c r="F89" s="23" t="n"/>
      <c r="G89" s="23" t="n"/>
      <c r="H89" s="23" t="n"/>
      <c r="I89" s="25" t="n"/>
      <c r="J89" s="26" t="n"/>
      <c r="K89" s="27">
        <f>IF(N(I89)=0,"",ROUND(I89*J89,2))</f>
        <v/>
      </c>
      <c r="L89" s="27">
        <f>IF(N(I89)=0,"",IF(P89="SI",I89,I89+N(K89)))</f>
        <v/>
      </c>
      <c r="M89" s="23" t="n"/>
      <c r="N89" s="26" t="n"/>
      <c r="O89" s="27">
        <f>IF(N(I89)=0,"",ROUND(N(K89)*N(N89),2))</f>
        <v/>
      </c>
      <c r="P89" s="23" t="n"/>
      <c r="Q89" s="23" t="n"/>
      <c r="R89" s="23" t="n"/>
    </row>
    <row r="90">
      <c r="A90" s="23" t="n"/>
      <c r="B90" s="23" t="n"/>
      <c r="C90" s="24" t="n"/>
      <c r="D90" s="24" t="n"/>
      <c r="E90" s="23" t="n"/>
      <c r="F90" s="23" t="n"/>
      <c r="G90" s="23" t="n"/>
      <c r="H90" s="23" t="n"/>
      <c r="I90" s="25" t="n"/>
      <c r="J90" s="26" t="n"/>
      <c r="K90" s="27">
        <f>IF(N(I90)=0,"",ROUND(I90*J90,2))</f>
        <v/>
      </c>
      <c r="L90" s="27">
        <f>IF(N(I90)=0,"",IF(P90="SI",I90,I90+N(K90)))</f>
        <v/>
      </c>
      <c r="M90" s="23" t="n"/>
      <c r="N90" s="26" t="n"/>
      <c r="O90" s="27">
        <f>IF(N(I90)=0,"",ROUND(N(K90)*N(N90),2))</f>
        <v/>
      </c>
      <c r="P90" s="23" t="n"/>
      <c r="Q90" s="23" t="n"/>
      <c r="R90" s="23" t="n"/>
    </row>
    <row r="91">
      <c r="A91" s="23" t="n"/>
      <c r="B91" s="23" t="n"/>
      <c r="C91" s="24" t="n"/>
      <c r="D91" s="24" t="n"/>
      <c r="E91" s="23" t="n"/>
      <c r="F91" s="23" t="n"/>
      <c r="G91" s="23" t="n"/>
      <c r="H91" s="23" t="n"/>
      <c r="I91" s="25" t="n"/>
      <c r="J91" s="26" t="n"/>
      <c r="K91" s="27">
        <f>IF(N(I91)=0,"",ROUND(I91*J91,2))</f>
        <v/>
      </c>
      <c r="L91" s="27">
        <f>IF(N(I91)=0,"",IF(P91="SI",I91,I91+N(K91)))</f>
        <v/>
      </c>
      <c r="M91" s="23" t="n"/>
      <c r="N91" s="26" t="n"/>
      <c r="O91" s="27">
        <f>IF(N(I91)=0,"",ROUND(N(K91)*N(N91),2))</f>
        <v/>
      </c>
      <c r="P91" s="23" t="n"/>
      <c r="Q91" s="23" t="n"/>
      <c r="R91" s="23" t="n"/>
    </row>
    <row r="92">
      <c r="A92" s="23" t="n"/>
      <c r="B92" s="23" t="n"/>
      <c r="C92" s="24" t="n"/>
      <c r="D92" s="24" t="n"/>
      <c r="E92" s="23" t="n"/>
      <c r="F92" s="23" t="n"/>
      <c r="G92" s="23" t="n"/>
      <c r="H92" s="23" t="n"/>
      <c r="I92" s="25" t="n"/>
      <c r="J92" s="26" t="n"/>
      <c r="K92" s="27">
        <f>IF(N(I92)=0,"",ROUND(I92*J92,2))</f>
        <v/>
      </c>
      <c r="L92" s="27">
        <f>IF(N(I92)=0,"",IF(P92="SI",I92,I92+N(K92)))</f>
        <v/>
      </c>
      <c r="M92" s="23" t="n"/>
      <c r="N92" s="26" t="n"/>
      <c r="O92" s="27">
        <f>IF(N(I92)=0,"",ROUND(N(K92)*N(N92),2))</f>
        <v/>
      </c>
      <c r="P92" s="23" t="n"/>
      <c r="Q92" s="23" t="n"/>
      <c r="R92" s="23" t="n"/>
    </row>
    <row r="93">
      <c r="A93" s="23" t="n"/>
      <c r="B93" s="23" t="n"/>
      <c r="C93" s="24" t="n"/>
      <c r="D93" s="24" t="n"/>
      <c r="E93" s="23" t="n"/>
      <c r="F93" s="23" t="n"/>
      <c r="G93" s="23" t="n"/>
      <c r="H93" s="23" t="n"/>
      <c r="I93" s="25" t="n"/>
      <c r="J93" s="26" t="n"/>
      <c r="K93" s="27">
        <f>IF(N(I93)=0,"",ROUND(I93*J93,2))</f>
        <v/>
      </c>
      <c r="L93" s="27">
        <f>IF(N(I93)=0,"",IF(P93="SI",I93,I93+N(K93)))</f>
        <v/>
      </c>
      <c r="M93" s="23" t="n"/>
      <c r="N93" s="26" t="n"/>
      <c r="O93" s="27">
        <f>IF(N(I93)=0,"",ROUND(N(K93)*N(N93),2))</f>
        <v/>
      </c>
      <c r="P93" s="23" t="n"/>
      <c r="Q93" s="23" t="n"/>
      <c r="R93" s="23" t="n"/>
    </row>
    <row r="94">
      <c r="A94" s="23" t="n"/>
      <c r="B94" s="23" t="n"/>
      <c r="C94" s="24" t="n"/>
      <c r="D94" s="24" t="n"/>
      <c r="E94" s="23" t="n"/>
      <c r="F94" s="23" t="n"/>
      <c r="G94" s="23" t="n"/>
      <c r="H94" s="23" t="n"/>
      <c r="I94" s="25" t="n"/>
      <c r="J94" s="26" t="n"/>
      <c r="K94" s="27">
        <f>IF(N(I94)=0,"",ROUND(I94*J94,2))</f>
        <v/>
      </c>
      <c r="L94" s="27">
        <f>IF(N(I94)=0,"",IF(P94="SI",I94,I94+N(K94)))</f>
        <v/>
      </c>
      <c r="M94" s="23" t="n"/>
      <c r="N94" s="26" t="n"/>
      <c r="O94" s="27">
        <f>IF(N(I94)=0,"",ROUND(N(K94)*N(N94),2))</f>
        <v/>
      </c>
      <c r="P94" s="23" t="n"/>
      <c r="Q94" s="23" t="n"/>
      <c r="R94" s="23" t="n"/>
    </row>
    <row r="95">
      <c r="A95" s="23" t="n"/>
      <c r="B95" s="23" t="n"/>
      <c r="C95" s="24" t="n"/>
      <c r="D95" s="24" t="n"/>
      <c r="E95" s="23" t="n"/>
      <c r="F95" s="23" t="n"/>
      <c r="G95" s="23" t="n"/>
      <c r="H95" s="23" t="n"/>
      <c r="I95" s="25" t="n"/>
      <c r="J95" s="26" t="n"/>
      <c r="K95" s="27">
        <f>IF(N(I95)=0,"",ROUND(I95*J95,2))</f>
        <v/>
      </c>
      <c r="L95" s="27">
        <f>IF(N(I95)=0,"",IF(P95="SI",I95,I95+N(K95)))</f>
        <v/>
      </c>
      <c r="M95" s="23" t="n"/>
      <c r="N95" s="26" t="n"/>
      <c r="O95" s="27">
        <f>IF(N(I95)=0,"",ROUND(N(K95)*N(N95),2))</f>
        <v/>
      </c>
      <c r="P95" s="23" t="n"/>
      <c r="Q95" s="23" t="n"/>
      <c r="R95" s="23" t="n"/>
    </row>
    <row r="96">
      <c r="A96" s="23" t="n"/>
      <c r="B96" s="23" t="n"/>
      <c r="C96" s="24" t="n"/>
      <c r="D96" s="24" t="n"/>
      <c r="E96" s="23" t="n"/>
      <c r="F96" s="23" t="n"/>
      <c r="G96" s="23" t="n"/>
      <c r="H96" s="23" t="n"/>
      <c r="I96" s="25" t="n"/>
      <c r="J96" s="26" t="n"/>
      <c r="K96" s="27">
        <f>IF(N(I96)=0,"",ROUND(I96*J96,2))</f>
        <v/>
      </c>
      <c r="L96" s="27">
        <f>IF(N(I96)=0,"",IF(P96="SI",I96,I96+N(K96)))</f>
        <v/>
      </c>
      <c r="M96" s="23" t="n"/>
      <c r="N96" s="26" t="n"/>
      <c r="O96" s="27">
        <f>IF(N(I96)=0,"",ROUND(N(K96)*N(N96),2))</f>
        <v/>
      </c>
      <c r="P96" s="23" t="n"/>
      <c r="Q96" s="23" t="n"/>
      <c r="R96" s="23" t="n"/>
    </row>
    <row r="97">
      <c r="A97" s="23" t="n"/>
      <c r="B97" s="23" t="n"/>
      <c r="C97" s="24" t="n"/>
      <c r="D97" s="24" t="n"/>
      <c r="E97" s="23" t="n"/>
      <c r="F97" s="23" t="n"/>
      <c r="G97" s="23" t="n"/>
      <c r="H97" s="23" t="n"/>
      <c r="I97" s="25" t="n"/>
      <c r="J97" s="26" t="n"/>
      <c r="K97" s="27">
        <f>IF(N(I97)=0,"",ROUND(I97*J97,2))</f>
        <v/>
      </c>
      <c r="L97" s="27">
        <f>IF(N(I97)=0,"",IF(P97="SI",I97,I97+N(K97)))</f>
        <v/>
      </c>
      <c r="M97" s="23" t="n"/>
      <c r="N97" s="26" t="n"/>
      <c r="O97" s="27">
        <f>IF(N(I97)=0,"",ROUND(N(K97)*N(N97),2))</f>
        <v/>
      </c>
      <c r="P97" s="23" t="n"/>
      <c r="Q97" s="23" t="n"/>
      <c r="R97" s="23" t="n"/>
    </row>
    <row r="98">
      <c r="A98" s="23" t="n"/>
      <c r="B98" s="23" t="n"/>
      <c r="C98" s="24" t="n"/>
      <c r="D98" s="24" t="n"/>
      <c r="E98" s="23" t="n"/>
      <c r="F98" s="23" t="n"/>
      <c r="G98" s="23" t="n"/>
      <c r="H98" s="23" t="n"/>
      <c r="I98" s="25" t="n"/>
      <c r="J98" s="26" t="n"/>
      <c r="K98" s="27">
        <f>IF(N(I98)=0,"",ROUND(I98*J98,2))</f>
        <v/>
      </c>
      <c r="L98" s="27">
        <f>IF(N(I98)=0,"",IF(P98="SI",I98,I98+N(K98)))</f>
        <v/>
      </c>
      <c r="M98" s="23" t="n"/>
      <c r="N98" s="26" t="n"/>
      <c r="O98" s="27">
        <f>IF(N(I98)=0,"",ROUND(N(K98)*N(N98),2))</f>
        <v/>
      </c>
      <c r="P98" s="23" t="n"/>
      <c r="Q98" s="23" t="n"/>
      <c r="R98" s="23" t="n"/>
    </row>
    <row r="99">
      <c r="A99" s="23" t="n"/>
      <c r="B99" s="23" t="n"/>
      <c r="C99" s="24" t="n"/>
      <c r="D99" s="24" t="n"/>
      <c r="E99" s="23" t="n"/>
      <c r="F99" s="23" t="n"/>
      <c r="G99" s="23" t="n"/>
      <c r="H99" s="23" t="n"/>
      <c r="I99" s="25" t="n"/>
      <c r="J99" s="26" t="n"/>
      <c r="K99" s="27">
        <f>IF(N(I99)=0,"",ROUND(I99*J99,2))</f>
        <v/>
      </c>
      <c r="L99" s="27">
        <f>IF(N(I99)=0,"",IF(P99="SI",I99,I99+N(K99)))</f>
        <v/>
      </c>
      <c r="M99" s="23" t="n"/>
      <c r="N99" s="26" t="n"/>
      <c r="O99" s="27">
        <f>IF(N(I99)=0,"",ROUND(N(K99)*N(N99),2))</f>
        <v/>
      </c>
      <c r="P99" s="23" t="n"/>
      <c r="Q99" s="23" t="n"/>
      <c r="R99" s="23" t="n"/>
    </row>
    <row r="100">
      <c r="A100" s="23" t="n"/>
      <c r="B100" s="23" t="n"/>
      <c r="C100" s="24" t="n"/>
      <c r="D100" s="24" t="n"/>
      <c r="E100" s="23" t="n"/>
      <c r="F100" s="23" t="n"/>
      <c r="G100" s="23" t="n"/>
      <c r="H100" s="23" t="n"/>
      <c r="I100" s="25" t="n"/>
      <c r="J100" s="26" t="n"/>
      <c r="K100" s="27">
        <f>IF(N(I100)=0,"",ROUND(I100*J100,2))</f>
        <v/>
      </c>
      <c r="L100" s="27">
        <f>IF(N(I100)=0,"",IF(P100="SI",I100,I100+N(K100)))</f>
        <v/>
      </c>
      <c r="M100" s="23" t="n"/>
      <c r="N100" s="26" t="n"/>
      <c r="O100" s="27">
        <f>IF(N(I100)=0,"",ROUND(N(K100)*N(N100),2))</f>
        <v/>
      </c>
      <c r="P100" s="23" t="n"/>
      <c r="Q100" s="23" t="n"/>
      <c r="R100" s="23" t="n"/>
    </row>
    <row r="101">
      <c r="A101" s="23" t="n"/>
      <c r="B101" s="23" t="n"/>
      <c r="C101" s="24" t="n"/>
      <c r="D101" s="24" t="n"/>
      <c r="E101" s="23" t="n"/>
      <c r="F101" s="23" t="n"/>
      <c r="G101" s="23" t="n"/>
      <c r="H101" s="23" t="n"/>
      <c r="I101" s="25" t="n"/>
      <c r="J101" s="26" t="n"/>
      <c r="K101" s="27">
        <f>IF(N(I101)=0,"",ROUND(I101*J101,2))</f>
        <v/>
      </c>
      <c r="L101" s="27">
        <f>IF(N(I101)=0,"",IF(P101="SI",I101,I101+N(K101)))</f>
        <v/>
      </c>
      <c r="M101" s="23" t="n"/>
      <c r="N101" s="26" t="n"/>
      <c r="O101" s="27">
        <f>IF(N(I101)=0,"",ROUND(N(K101)*N(N101),2))</f>
        <v/>
      </c>
      <c r="P101" s="23" t="n"/>
      <c r="Q101" s="23" t="n"/>
      <c r="R101" s="23" t="n"/>
    </row>
    <row r="102">
      <c r="A102" s="23" t="n"/>
      <c r="B102" s="23" t="n"/>
      <c r="C102" s="24" t="n"/>
      <c r="D102" s="24" t="n"/>
      <c r="E102" s="23" t="n"/>
      <c r="F102" s="23" t="n"/>
      <c r="G102" s="23" t="n"/>
      <c r="H102" s="23" t="n"/>
      <c r="I102" s="25" t="n"/>
      <c r="J102" s="26" t="n"/>
      <c r="K102" s="27">
        <f>IF(N(I102)=0,"",ROUND(I102*J102,2))</f>
        <v/>
      </c>
      <c r="L102" s="27">
        <f>IF(N(I102)=0,"",IF(P102="SI",I102,I102+N(K102)))</f>
        <v/>
      </c>
      <c r="M102" s="23" t="n"/>
      <c r="N102" s="26" t="n"/>
      <c r="O102" s="27">
        <f>IF(N(I102)=0,"",ROUND(N(K102)*N(N102),2))</f>
        <v/>
      </c>
      <c r="P102" s="23" t="n"/>
      <c r="Q102" s="23" t="n"/>
      <c r="R102" s="23" t="n"/>
    </row>
    <row r="103">
      <c r="A103" s="23" t="n"/>
      <c r="B103" s="23" t="n"/>
      <c r="C103" s="24" t="n"/>
      <c r="D103" s="24" t="n"/>
      <c r="E103" s="23" t="n"/>
      <c r="F103" s="23" t="n"/>
      <c r="G103" s="23" t="n"/>
      <c r="H103" s="23" t="n"/>
      <c r="I103" s="25" t="n"/>
      <c r="J103" s="26" t="n"/>
      <c r="K103" s="27">
        <f>IF(N(I103)=0,"",ROUND(I103*J103,2))</f>
        <v/>
      </c>
      <c r="L103" s="27">
        <f>IF(N(I103)=0,"",IF(P103="SI",I103,I103+N(K103)))</f>
        <v/>
      </c>
      <c r="M103" s="23" t="n"/>
      <c r="N103" s="26" t="n"/>
      <c r="O103" s="27">
        <f>IF(N(I103)=0,"",ROUND(N(K103)*N(N103),2))</f>
        <v/>
      </c>
      <c r="P103" s="23" t="n"/>
      <c r="Q103" s="23" t="n"/>
      <c r="R103" s="23" t="n"/>
    </row>
    <row r="104">
      <c r="A104" s="23" t="n"/>
      <c r="B104" s="23" t="n"/>
      <c r="C104" s="24" t="n"/>
      <c r="D104" s="24" t="n"/>
      <c r="E104" s="23" t="n"/>
      <c r="F104" s="23" t="n"/>
      <c r="G104" s="23" t="n"/>
      <c r="H104" s="23" t="n"/>
      <c r="I104" s="25" t="n"/>
      <c r="J104" s="26" t="n"/>
      <c r="K104" s="27">
        <f>IF(N(I104)=0,"",ROUND(I104*J104,2))</f>
        <v/>
      </c>
      <c r="L104" s="27">
        <f>IF(N(I104)=0,"",IF(P104="SI",I104,I104+N(K104)))</f>
        <v/>
      </c>
      <c r="M104" s="23" t="n"/>
      <c r="N104" s="26" t="n"/>
      <c r="O104" s="27">
        <f>IF(N(I104)=0,"",ROUND(N(K104)*N(N104),2))</f>
        <v/>
      </c>
      <c r="P104" s="23" t="n"/>
      <c r="Q104" s="23" t="n"/>
      <c r="R104" s="23" t="n"/>
    </row>
    <row r="105">
      <c r="A105" s="23" t="n"/>
      <c r="B105" s="23" t="n"/>
      <c r="C105" s="24" t="n"/>
      <c r="D105" s="24" t="n"/>
      <c r="E105" s="23" t="n"/>
      <c r="F105" s="23" t="n"/>
      <c r="G105" s="23" t="n"/>
      <c r="H105" s="23" t="n"/>
      <c r="I105" s="25" t="n"/>
      <c r="J105" s="26" t="n"/>
      <c r="K105" s="27">
        <f>IF(N(I105)=0,"",ROUND(I105*J105,2))</f>
        <v/>
      </c>
      <c r="L105" s="27">
        <f>IF(N(I105)=0,"",IF(P105="SI",I105,I105+N(K105)))</f>
        <v/>
      </c>
      <c r="M105" s="23" t="n"/>
      <c r="N105" s="26" t="n"/>
      <c r="O105" s="27">
        <f>IF(N(I105)=0,"",ROUND(N(K105)*N(N105),2))</f>
        <v/>
      </c>
      <c r="P105" s="23" t="n"/>
      <c r="Q105" s="23" t="n"/>
      <c r="R105" s="23" t="n"/>
    </row>
    <row r="106">
      <c r="A106" s="23" t="n"/>
      <c r="B106" s="23" t="n"/>
      <c r="C106" s="24" t="n"/>
      <c r="D106" s="24" t="n"/>
      <c r="E106" s="23" t="n"/>
      <c r="F106" s="23" t="n"/>
      <c r="G106" s="23" t="n"/>
      <c r="H106" s="23" t="n"/>
      <c r="I106" s="25" t="n"/>
      <c r="J106" s="26" t="n"/>
      <c r="K106" s="27">
        <f>IF(N(I106)=0,"",ROUND(I106*J106,2))</f>
        <v/>
      </c>
      <c r="L106" s="27">
        <f>IF(N(I106)=0,"",IF(P106="SI",I106,I106+N(K106)))</f>
        <v/>
      </c>
      <c r="M106" s="23" t="n"/>
      <c r="N106" s="26" t="n"/>
      <c r="O106" s="27">
        <f>IF(N(I106)=0,"",ROUND(N(K106)*N(N106),2))</f>
        <v/>
      </c>
      <c r="P106" s="23" t="n"/>
      <c r="Q106" s="23" t="n"/>
      <c r="R106" s="23" t="n"/>
    </row>
    <row r="107">
      <c r="A107" s="23" t="n"/>
      <c r="B107" s="23" t="n"/>
      <c r="C107" s="24" t="n"/>
      <c r="D107" s="24" t="n"/>
      <c r="E107" s="23" t="n"/>
      <c r="F107" s="23" t="n"/>
      <c r="G107" s="23" t="n"/>
      <c r="H107" s="23" t="n"/>
      <c r="I107" s="25" t="n"/>
      <c r="J107" s="26" t="n"/>
      <c r="K107" s="27">
        <f>IF(N(I107)=0,"",ROUND(I107*J107,2))</f>
        <v/>
      </c>
      <c r="L107" s="27">
        <f>IF(N(I107)=0,"",IF(P107="SI",I107,I107+N(K107)))</f>
        <v/>
      </c>
      <c r="M107" s="23" t="n"/>
      <c r="N107" s="26" t="n"/>
      <c r="O107" s="27">
        <f>IF(N(I107)=0,"",ROUND(N(K107)*N(N107),2))</f>
        <v/>
      </c>
      <c r="P107" s="23" t="n"/>
      <c r="Q107" s="23" t="n"/>
      <c r="R107" s="23" t="n"/>
    </row>
    <row r="108">
      <c r="A108" s="23" t="n"/>
      <c r="B108" s="23" t="n"/>
      <c r="C108" s="24" t="n"/>
      <c r="D108" s="24" t="n"/>
      <c r="E108" s="23" t="n"/>
      <c r="F108" s="23" t="n"/>
      <c r="G108" s="23" t="n"/>
      <c r="H108" s="23" t="n"/>
      <c r="I108" s="25" t="n"/>
      <c r="J108" s="26" t="n"/>
      <c r="K108" s="27">
        <f>IF(N(I108)=0,"",ROUND(I108*J108,2))</f>
        <v/>
      </c>
      <c r="L108" s="27">
        <f>IF(N(I108)=0,"",IF(P108="SI",I108,I108+N(K108)))</f>
        <v/>
      </c>
      <c r="M108" s="23" t="n"/>
      <c r="N108" s="26" t="n"/>
      <c r="O108" s="27">
        <f>IF(N(I108)=0,"",ROUND(N(K108)*N(N108),2))</f>
        <v/>
      </c>
      <c r="P108" s="23" t="n"/>
      <c r="Q108" s="23" t="n"/>
      <c r="R108" s="23" t="n"/>
    </row>
    <row r="109">
      <c r="A109" s="23" t="n"/>
      <c r="B109" s="23" t="n"/>
      <c r="C109" s="24" t="n"/>
      <c r="D109" s="24" t="n"/>
      <c r="E109" s="23" t="n"/>
      <c r="F109" s="23" t="n"/>
      <c r="G109" s="23" t="n"/>
      <c r="H109" s="23" t="n"/>
      <c r="I109" s="25" t="n"/>
      <c r="J109" s="26" t="n"/>
      <c r="K109" s="27">
        <f>IF(N(I109)=0,"",ROUND(I109*J109,2))</f>
        <v/>
      </c>
      <c r="L109" s="27">
        <f>IF(N(I109)=0,"",IF(P109="SI",I109,I109+N(K109)))</f>
        <v/>
      </c>
      <c r="M109" s="23" t="n"/>
      <c r="N109" s="26" t="n"/>
      <c r="O109" s="27">
        <f>IF(N(I109)=0,"",ROUND(N(K109)*N(N109),2))</f>
        <v/>
      </c>
      <c r="P109" s="23" t="n"/>
      <c r="Q109" s="23" t="n"/>
      <c r="R109" s="23" t="n"/>
    </row>
    <row r="110">
      <c r="A110" s="23" t="n"/>
      <c r="B110" s="23" t="n"/>
      <c r="C110" s="24" t="n"/>
      <c r="D110" s="24" t="n"/>
      <c r="E110" s="23" t="n"/>
      <c r="F110" s="23" t="n"/>
      <c r="G110" s="23" t="n"/>
      <c r="H110" s="23" t="n"/>
      <c r="I110" s="25" t="n"/>
      <c r="J110" s="26" t="n"/>
      <c r="K110" s="27">
        <f>IF(N(I110)=0,"",ROUND(I110*J110,2))</f>
        <v/>
      </c>
      <c r="L110" s="27">
        <f>IF(N(I110)=0,"",IF(P110="SI",I110,I110+N(K110)))</f>
        <v/>
      </c>
      <c r="M110" s="23" t="n"/>
      <c r="N110" s="26" t="n"/>
      <c r="O110" s="27">
        <f>IF(N(I110)=0,"",ROUND(N(K110)*N(N110),2))</f>
        <v/>
      </c>
      <c r="P110" s="23" t="n"/>
      <c r="Q110" s="23" t="n"/>
      <c r="R110" s="23" t="n"/>
    </row>
    <row r="111">
      <c r="A111" s="23" t="n"/>
      <c r="B111" s="23" t="n"/>
      <c r="C111" s="24" t="n"/>
      <c r="D111" s="24" t="n"/>
      <c r="E111" s="23" t="n"/>
      <c r="F111" s="23" t="n"/>
      <c r="G111" s="23" t="n"/>
      <c r="H111" s="23" t="n"/>
      <c r="I111" s="25" t="n"/>
      <c r="J111" s="26" t="n"/>
      <c r="K111" s="27">
        <f>IF(N(I111)=0,"",ROUND(I111*J111,2))</f>
        <v/>
      </c>
      <c r="L111" s="27">
        <f>IF(N(I111)=0,"",IF(P111="SI",I111,I111+N(K111)))</f>
        <v/>
      </c>
      <c r="M111" s="23" t="n"/>
      <c r="N111" s="26" t="n"/>
      <c r="O111" s="27">
        <f>IF(N(I111)=0,"",ROUND(N(K111)*N(N111),2))</f>
        <v/>
      </c>
      <c r="P111" s="23" t="n"/>
      <c r="Q111" s="23" t="n"/>
      <c r="R111" s="23" t="n"/>
    </row>
    <row r="112">
      <c r="A112" s="23" t="n"/>
      <c r="B112" s="23" t="n"/>
      <c r="C112" s="24" t="n"/>
      <c r="D112" s="24" t="n"/>
      <c r="E112" s="23" t="n"/>
      <c r="F112" s="23" t="n"/>
      <c r="G112" s="23" t="n"/>
      <c r="H112" s="23" t="n"/>
      <c r="I112" s="25" t="n"/>
      <c r="J112" s="26" t="n"/>
      <c r="K112" s="27">
        <f>IF(N(I112)=0,"",ROUND(I112*J112,2))</f>
        <v/>
      </c>
      <c r="L112" s="27">
        <f>IF(N(I112)=0,"",IF(P112="SI",I112,I112+N(K112)))</f>
        <v/>
      </c>
      <c r="M112" s="23" t="n"/>
      <c r="N112" s="26" t="n"/>
      <c r="O112" s="27">
        <f>IF(N(I112)=0,"",ROUND(N(K112)*N(N112),2))</f>
        <v/>
      </c>
      <c r="P112" s="23" t="n"/>
      <c r="Q112" s="23" t="n"/>
      <c r="R112" s="23" t="n"/>
    </row>
    <row r="113">
      <c r="A113" s="23" t="n"/>
      <c r="B113" s="23" t="n"/>
      <c r="C113" s="24" t="n"/>
      <c r="D113" s="24" t="n"/>
      <c r="E113" s="23" t="n"/>
      <c r="F113" s="23" t="n"/>
      <c r="G113" s="23" t="n"/>
      <c r="H113" s="23" t="n"/>
      <c r="I113" s="25" t="n"/>
      <c r="J113" s="26" t="n"/>
      <c r="K113" s="27">
        <f>IF(N(I113)=0,"",ROUND(I113*J113,2))</f>
        <v/>
      </c>
      <c r="L113" s="27">
        <f>IF(N(I113)=0,"",IF(P113="SI",I113,I113+N(K113)))</f>
        <v/>
      </c>
      <c r="M113" s="23" t="n"/>
      <c r="N113" s="26" t="n"/>
      <c r="O113" s="27">
        <f>IF(N(I113)=0,"",ROUND(N(K113)*N(N113),2))</f>
        <v/>
      </c>
      <c r="P113" s="23" t="n"/>
      <c r="Q113" s="23" t="n"/>
      <c r="R113" s="23" t="n"/>
    </row>
    <row r="114">
      <c r="A114" s="23" t="n"/>
      <c r="B114" s="23" t="n"/>
      <c r="C114" s="24" t="n"/>
      <c r="D114" s="24" t="n"/>
      <c r="E114" s="23" t="n"/>
      <c r="F114" s="23" t="n"/>
      <c r="G114" s="23" t="n"/>
      <c r="H114" s="23" t="n"/>
      <c r="I114" s="25" t="n"/>
      <c r="J114" s="26" t="n"/>
      <c r="K114" s="27">
        <f>IF(N(I114)=0,"",ROUND(I114*J114,2))</f>
        <v/>
      </c>
      <c r="L114" s="27">
        <f>IF(N(I114)=0,"",IF(P114="SI",I114,I114+N(K114)))</f>
        <v/>
      </c>
      <c r="M114" s="23" t="n"/>
      <c r="N114" s="26" t="n"/>
      <c r="O114" s="27">
        <f>IF(N(I114)=0,"",ROUND(N(K114)*N(N114),2))</f>
        <v/>
      </c>
      <c r="P114" s="23" t="n"/>
      <c r="Q114" s="23" t="n"/>
      <c r="R114" s="23" t="n"/>
    </row>
    <row r="115">
      <c r="A115" s="23" t="n"/>
      <c r="B115" s="23" t="n"/>
      <c r="C115" s="24" t="n"/>
      <c r="D115" s="24" t="n"/>
      <c r="E115" s="23" t="n"/>
      <c r="F115" s="23" t="n"/>
      <c r="G115" s="23" t="n"/>
      <c r="H115" s="23" t="n"/>
      <c r="I115" s="25" t="n"/>
      <c r="J115" s="26" t="n"/>
      <c r="K115" s="27">
        <f>IF(N(I115)=0,"",ROUND(I115*J115,2))</f>
        <v/>
      </c>
      <c r="L115" s="27">
        <f>IF(N(I115)=0,"",IF(P115="SI",I115,I115+N(K115)))</f>
        <v/>
      </c>
      <c r="M115" s="23" t="n"/>
      <c r="N115" s="26" t="n"/>
      <c r="O115" s="27">
        <f>IF(N(I115)=0,"",ROUND(N(K115)*N(N115),2))</f>
        <v/>
      </c>
      <c r="P115" s="23" t="n"/>
      <c r="Q115" s="23" t="n"/>
      <c r="R115" s="23" t="n"/>
    </row>
    <row r="116">
      <c r="A116" s="23" t="n"/>
      <c r="B116" s="23" t="n"/>
      <c r="C116" s="24" t="n"/>
      <c r="D116" s="24" t="n"/>
      <c r="E116" s="23" t="n"/>
      <c r="F116" s="23" t="n"/>
      <c r="G116" s="23" t="n"/>
      <c r="H116" s="23" t="n"/>
      <c r="I116" s="25" t="n"/>
      <c r="J116" s="26" t="n"/>
      <c r="K116" s="27">
        <f>IF(N(I116)=0,"",ROUND(I116*J116,2))</f>
        <v/>
      </c>
      <c r="L116" s="27">
        <f>IF(N(I116)=0,"",IF(P116="SI",I116,I116+N(K116)))</f>
        <v/>
      </c>
      <c r="M116" s="23" t="n"/>
      <c r="N116" s="26" t="n"/>
      <c r="O116" s="27">
        <f>IF(N(I116)=0,"",ROUND(N(K116)*N(N116),2))</f>
        <v/>
      </c>
      <c r="P116" s="23" t="n"/>
      <c r="Q116" s="23" t="n"/>
      <c r="R116" s="23" t="n"/>
    </row>
    <row r="117">
      <c r="A117" s="23" t="n"/>
      <c r="B117" s="23" t="n"/>
      <c r="C117" s="24" t="n"/>
      <c r="D117" s="24" t="n"/>
      <c r="E117" s="23" t="n"/>
      <c r="F117" s="23" t="n"/>
      <c r="G117" s="23" t="n"/>
      <c r="H117" s="23" t="n"/>
      <c r="I117" s="25" t="n"/>
      <c r="J117" s="26" t="n"/>
      <c r="K117" s="27">
        <f>IF(N(I117)=0,"",ROUND(I117*J117,2))</f>
        <v/>
      </c>
      <c r="L117" s="27">
        <f>IF(N(I117)=0,"",IF(P117="SI",I117,I117+N(K117)))</f>
        <v/>
      </c>
      <c r="M117" s="23" t="n"/>
      <c r="N117" s="26" t="n"/>
      <c r="O117" s="27">
        <f>IF(N(I117)=0,"",ROUND(N(K117)*N(N117),2))</f>
        <v/>
      </c>
      <c r="P117" s="23" t="n"/>
      <c r="Q117" s="23" t="n"/>
      <c r="R117" s="23" t="n"/>
    </row>
    <row r="118">
      <c r="A118" s="23" t="n"/>
      <c r="B118" s="23" t="n"/>
      <c r="C118" s="24" t="n"/>
      <c r="D118" s="24" t="n"/>
      <c r="E118" s="23" t="n"/>
      <c r="F118" s="23" t="n"/>
      <c r="G118" s="23" t="n"/>
      <c r="H118" s="23" t="n"/>
      <c r="I118" s="25" t="n"/>
      <c r="J118" s="26" t="n"/>
      <c r="K118" s="27">
        <f>IF(N(I118)=0,"",ROUND(I118*J118,2))</f>
        <v/>
      </c>
      <c r="L118" s="27">
        <f>IF(N(I118)=0,"",IF(P118="SI",I118,I118+N(K118)))</f>
        <v/>
      </c>
      <c r="M118" s="23" t="n"/>
      <c r="N118" s="26" t="n"/>
      <c r="O118" s="27">
        <f>IF(N(I118)=0,"",ROUND(N(K118)*N(N118),2))</f>
        <v/>
      </c>
      <c r="P118" s="23" t="n"/>
      <c r="Q118" s="23" t="n"/>
      <c r="R118" s="23" t="n"/>
    </row>
    <row r="119">
      <c r="A119" s="23" t="n"/>
      <c r="B119" s="23" t="n"/>
      <c r="C119" s="24" t="n"/>
      <c r="D119" s="24" t="n"/>
      <c r="E119" s="23" t="n"/>
      <c r="F119" s="23" t="n"/>
      <c r="G119" s="23" t="n"/>
      <c r="H119" s="23" t="n"/>
      <c r="I119" s="25" t="n"/>
      <c r="J119" s="26" t="n"/>
      <c r="K119" s="27">
        <f>IF(N(I119)=0,"",ROUND(I119*J119,2))</f>
        <v/>
      </c>
      <c r="L119" s="27">
        <f>IF(N(I119)=0,"",IF(P119="SI",I119,I119+N(K119)))</f>
        <v/>
      </c>
      <c r="M119" s="23" t="n"/>
      <c r="N119" s="26" t="n"/>
      <c r="O119" s="27">
        <f>IF(N(I119)=0,"",ROUND(N(K119)*N(N119),2))</f>
        <v/>
      </c>
      <c r="P119" s="23" t="n"/>
      <c r="Q119" s="23" t="n"/>
      <c r="R119" s="23" t="n"/>
    </row>
    <row r="120">
      <c r="A120" s="23" t="n"/>
      <c r="B120" s="23" t="n"/>
      <c r="C120" s="24" t="n"/>
      <c r="D120" s="24" t="n"/>
      <c r="E120" s="23" t="n"/>
      <c r="F120" s="23" t="n"/>
      <c r="G120" s="23" t="n"/>
      <c r="H120" s="23" t="n"/>
      <c r="I120" s="25" t="n"/>
      <c r="J120" s="26" t="n"/>
      <c r="K120" s="27">
        <f>IF(N(I120)=0,"",ROUND(I120*J120,2))</f>
        <v/>
      </c>
      <c r="L120" s="27">
        <f>IF(N(I120)=0,"",IF(P120="SI",I120,I120+N(K120)))</f>
        <v/>
      </c>
      <c r="M120" s="23" t="n"/>
      <c r="N120" s="26" t="n"/>
      <c r="O120" s="27">
        <f>IF(N(I120)=0,"",ROUND(N(K120)*N(N120),2))</f>
        <v/>
      </c>
      <c r="P120" s="23" t="n"/>
      <c r="Q120" s="23" t="n"/>
      <c r="R120" s="23" t="n"/>
    </row>
    <row r="121">
      <c r="A121" s="23" t="n"/>
      <c r="B121" s="23" t="n"/>
      <c r="C121" s="24" t="n"/>
      <c r="D121" s="24" t="n"/>
      <c r="E121" s="23" t="n"/>
      <c r="F121" s="23" t="n"/>
      <c r="G121" s="23" t="n"/>
      <c r="H121" s="23" t="n"/>
      <c r="I121" s="25" t="n"/>
      <c r="J121" s="26" t="n"/>
      <c r="K121" s="27">
        <f>IF(N(I121)=0,"",ROUND(I121*J121,2))</f>
        <v/>
      </c>
      <c r="L121" s="27">
        <f>IF(N(I121)=0,"",IF(P121="SI",I121,I121+N(K121)))</f>
        <v/>
      </c>
      <c r="M121" s="23" t="n"/>
      <c r="N121" s="26" t="n"/>
      <c r="O121" s="27">
        <f>IF(N(I121)=0,"",ROUND(N(K121)*N(N121),2))</f>
        <v/>
      </c>
      <c r="P121" s="23" t="n"/>
      <c r="Q121" s="23" t="n"/>
      <c r="R121" s="23" t="n"/>
    </row>
    <row r="122">
      <c r="A122" s="23" t="n"/>
      <c r="B122" s="23" t="n"/>
      <c r="C122" s="24" t="n"/>
      <c r="D122" s="24" t="n"/>
      <c r="E122" s="23" t="n"/>
      <c r="F122" s="23" t="n"/>
      <c r="G122" s="23" t="n"/>
      <c r="H122" s="23" t="n"/>
      <c r="I122" s="25" t="n"/>
      <c r="J122" s="26" t="n"/>
      <c r="K122" s="27">
        <f>IF(N(I122)=0,"",ROUND(I122*J122,2))</f>
        <v/>
      </c>
      <c r="L122" s="27">
        <f>IF(N(I122)=0,"",IF(P122="SI",I122,I122+N(K122)))</f>
        <v/>
      </c>
      <c r="M122" s="23" t="n"/>
      <c r="N122" s="26" t="n"/>
      <c r="O122" s="27">
        <f>IF(N(I122)=0,"",ROUND(N(K122)*N(N122),2))</f>
        <v/>
      </c>
      <c r="P122" s="23" t="n"/>
      <c r="Q122" s="23" t="n"/>
      <c r="R122" s="23" t="n"/>
    </row>
    <row r="123">
      <c r="A123" s="23" t="n"/>
      <c r="B123" s="23" t="n"/>
      <c r="C123" s="24" t="n"/>
      <c r="D123" s="24" t="n"/>
      <c r="E123" s="23" t="n"/>
      <c r="F123" s="23" t="n"/>
      <c r="G123" s="23" t="n"/>
      <c r="H123" s="23" t="n"/>
      <c r="I123" s="25" t="n"/>
      <c r="J123" s="26" t="n"/>
      <c r="K123" s="27">
        <f>IF(N(I123)=0,"",ROUND(I123*J123,2))</f>
        <v/>
      </c>
      <c r="L123" s="27">
        <f>IF(N(I123)=0,"",IF(P123="SI",I123,I123+N(K123)))</f>
        <v/>
      </c>
      <c r="M123" s="23" t="n"/>
      <c r="N123" s="26" t="n"/>
      <c r="O123" s="27">
        <f>IF(N(I123)=0,"",ROUND(N(K123)*N(N123),2))</f>
        <v/>
      </c>
      <c r="P123" s="23" t="n"/>
      <c r="Q123" s="23" t="n"/>
      <c r="R123" s="23" t="n"/>
    </row>
    <row r="124">
      <c r="A124" s="23" t="n"/>
      <c r="B124" s="23" t="n"/>
      <c r="C124" s="24" t="n"/>
      <c r="D124" s="24" t="n"/>
      <c r="E124" s="23" t="n"/>
      <c r="F124" s="23" t="n"/>
      <c r="G124" s="23" t="n"/>
      <c r="H124" s="23" t="n"/>
      <c r="I124" s="25" t="n"/>
      <c r="J124" s="26" t="n"/>
      <c r="K124" s="27">
        <f>IF(N(I124)=0,"",ROUND(I124*J124,2))</f>
        <v/>
      </c>
      <c r="L124" s="27">
        <f>IF(N(I124)=0,"",IF(P124="SI",I124,I124+N(K124)))</f>
        <v/>
      </c>
      <c r="M124" s="23" t="n"/>
      <c r="N124" s="26" t="n"/>
      <c r="O124" s="27">
        <f>IF(N(I124)=0,"",ROUND(N(K124)*N(N124),2))</f>
        <v/>
      </c>
      <c r="P124" s="23" t="n"/>
      <c r="Q124" s="23" t="n"/>
      <c r="R124" s="23" t="n"/>
    </row>
    <row r="125">
      <c r="A125" s="23" t="n"/>
      <c r="B125" s="23" t="n"/>
      <c r="C125" s="24" t="n"/>
      <c r="D125" s="24" t="n"/>
      <c r="E125" s="23" t="n"/>
      <c r="F125" s="23" t="n"/>
      <c r="G125" s="23" t="n"/>
      <c r="H125" s="23" t="n"/>
      <c r="I125" s="25" t="n"/>
      <c r="J125" s="26" t="n"/>
      <c r="K125" s="27">
        <f>IF(N(I125)=0,"",ROUND(I125*J125,2))</f>
        <v/>
      </c>
      <c r="L125" s="27">
        <f>IF(N(I125)=0,"",IF(P125="SI",I125,I125+N(K125)))</f>
        <v/>
      </c>
      <c r="M125" s="23" t="n"/>
      <c r="N125" s="26" t="n"/>
      <c r="O125" s="27">
        <f>IF(N(I125)=0,"",ROUND(N(K125)*N(N125),2))</f>
        <v/>
      </c>
      <c r="P125" s="23" t="n"/>
      <c r="Q125" s="23" t="n"/>
      <c r="R125" s="23" t="n"/>
    </row>
    <row r="126">
      <c r="A126" s="23" t="n"/>
      <c r="B126" s="23" t="n"/>
      <c r="C126" s="24" t="n"/>
      <c r="D126" s="24" t="n"/>
      <c r="E126" s="23" t="n"/>
      <c r="F126" s="23" t="n"/>
      <c r="G126" s="23" t="n"/>
      <c r="H126" s="23" t="n"/>
      <c r="I126" s="25" t="n"/>
      <c r="J126" s="26" t="n"/>
      <c r="K126" s="27">
        <f>IF(N(I126)=0,"",ROUND(I126*J126,2))</f>
        <v/>
      </c>
      <c r="L126" s="27">
        <f>IF(N(I126)=0,"",IF(P126="SI",I126,I126+N(K126)))</f>
        <v/>
      </c>
      <c r="M126" s="23" t="n"/>
      <c r="N126" s="26" t="n"/>
      <c r="O126" s="27">
        <f>IF(N(I126)=0,"",ROUND(N(K126)*N(N126),2))</f>
        <v/>
      </c>
      <c r="P126" s="23" t="n"/>
      <c r="Q126" s="23" t="n"/>
      <c r="R126" s="23" t="n"/>
    </row>
    <row r="127">
      <c r="A127" s="23" t="n"/>
      <c r="B127" s="23" t="n"/>
      <c r="C127" s="24" t="n"/>
      <c r="D127" s="24" t="n"/>
      <c r="E127" s="23" t="n"/>
      <c r="F127" s="23" t="n"/>
      <c r="G127" s="23" t="n"/>
      <c r="H127" s="23" t="n"/>
      <c r="I127" s="25" t="n"/>
      <c r="J127" s="26" t="n"/>
      <c r="K127" s="27">
        <f>IF(N(I127)=0,"",ROUND(I127*J127,2))</f>
        <v/>
      </c>
      <c r="L127" s="27">
        <f>IF(N(I127)=0,"",IF(P127="SI",I127,I127+N(K127)))</f>
        <v/>
      </c>
      <c r="M127" s="23" t="n"/>
      <c r="N127" s="26" t="n"/>
      <c r="O127" s="27">
        <f>IF(N(I127)=0,"",ROUND(N(K127)*N(N127),2))</f>
        <v/>
      </c>
      <c r="P127" s="23" t="n"/>
      <c r="Q127" s="23" t="n"/>
      <c r="R127" s="23" t="n"/>
    </row>
    <row r="128">
      <c r="A128" s="23" t="n"/>
      <c r="B128" s="23" t="n"/>
      <c r="C128" s="24" t="n"/>
      <c r="D128" s="24" t="n"/>
      <c r="E128" s="23" t="n"/>
      <c r="F128" s="23" t="n"/>
      <c r="G128" s="23" t="n"/>
      <c r="H128" s="23" t="n"/>
      <c r="I128" s="25" t="n"/>
      <c r="J128" s="26" t="n"/>
      <c r="K128" s="27">
        <f>IF(N(I128)=0,"",ROUND(I128*J128,2))</f>
        <v/>
      </c>
      <c r="L128" s="27">
        <f>IF(N(I128)=0,"",IF(P128="SI",I128,I128+N(K128)))</f>
        <v/>
      </c>
      <c r="M128" s="23" t="n"/>
      <c r="N128" s="26" t="n"/>
      <c r="O128" s="27">
        <f>IF(N(I128)=0,"",ROUND(N(K128)*N(N128),2))</f>
        <v/>
      </c>
      <c r="P128" s="23" t="n"/>
      <c r="Q128" s="23" t="n"/>
      <c r="R128" s="23" t="n"/>
    </row>
    <row r="129">
      <c r="A129" s="23" t="n"/>
      <c r="B129" s="23" t="n"/>
      <c r="C129" s="24" t="n"/>
      <c r="D129" s="24" t="n"/>
      <c r="E129" s="23" t="n"/>
      <c r="F129" s="23" t="n"/>
      <c r="G129" s="23" t="n"/>
      <c r="H129" s="23" t="n"/>
      <c r="I129" s="25" t="n"/>
      <c r="J129" s="26" t="n"/>
      <c r="K129" s="27">
        <f>IF(N(I129)=0,"",ROUND(I129*J129,2))</f>
        <v/>
      </c>
      <c r="L129" s="27">
        <f>IF(N(I129)=0,"",IF(P129="SI",I129,I129+N(K129)))</f>
        <v/>
      </c>
      <c r="M129" s="23" t="n"/>
      <c r="N129" s="26" t="n"/>
      <c r="O129" s="27">
        <f>IF(N(I129)=0,"",ROUND(N(K129)*N(N129),2))</f>
        <v/>
      </c>
      <c r="P129" s="23" t="n"/>
      <c r="Q129" s="23" t="n"/>
      <c r="R129" s="23" t="n"/>
    </row>
    <row r="130">
      <c r="A130" s="23" t="n"/>
      <c r="B130" s="23" t="n"/>
      <c r="C130" s="24" t="n"/>
      <c r="D130" s="24" t="n"/>
      <c r="E130" s="23" t="n"/>
      <c r="F130" s="23" t="n"/>
      <c r="G130" s="23" t="n"/>
      <c r="H130" s="23" t="n"/>
      <c r="I130" s="25" t="n"/>
      <c r="J130" s="26" t="n"/>
      <c r="K130" s="27">
        <f>IF(N(I130)=0,"",ROUND(I130*J130,2))</f>
        <v/>
      </c>
      <c r="L130" s="27">
        <f>IF(N(I130)=0,"",IF(P130="SI",I130,I130+N(K130)))</f>
        <v/>
      </c>
      <c r="M130" s="23" t="n"/>
      <c r="N130" s="26" t="n"/>
      <c r="O130" s="27">
        <f>IF(N(I130)=0,"",ROUND(N(K130)*N(N130),2))</f>
        <v/>
      </c>
      <c r="P130" s="23" t="n"/>
      <c r="Q130" s="23" t="n"/>
      <c r="R130" s="23" t="n"/>
    </row>
    <row r="131">
      <c r="A131" s="23" t="n"/>
      <c r="B131" s="23" t="n"/>
      <c r="C131" s="24" t="n"/>
      <c r="D131" s="24" t="n"/>
      <c r="E131" s="23" t="n"/>
      <c r="F131" s="23" t="n"/>
      <c r="G131" s="23" t="n"/>
      <c r="H131" s="23" t="n"/>
      <c r="I131" s="25" t="n"/>
      <c r="J131" s="26" t="n"/>
      <c r="K131" s="27">
        <f>IF(N(I131)=0,"",ROUND(I131*J131,2))</f>
        <v/>
      </c>
      <c r="L131" s="27">
        <f>IF(N(I131)=0,"",IF(P131="SI",I131,I131+N(K131)))</f>
        <v/>
      </c>
      <c r="M131" s="23" t="n"/>
      <c r="N131" s="26" t="n"/>
      <c r="O131" s="27">
        <f>IF(N(I131)=0,"",ROUND(N(K131)*N(N131),2))</f>
        <v/>
      </c>
      <c r="P131" s="23" t="n"/>
      <c r="Q131" s="23" t="n"/>
      <c r="R131" s="23" t="n"/>
    </row>
    <row r="132">
      <c r="A132" s="23" t="n"/>
      <c r="B132" s="23" t="n"/>
      <c r="C132" s="24" t="n"/>
      <c r="D132" s="24" t="n"/>
      <c r="E132" s="23" t="n"/>
      <c r="F132" s="23" t="n"/>
      <c r="G132" s="23" t="n"/>
      <c r="H132" s="23" t="n"/>
      <c r="I132" s="25" t="n"/>
      <c r="J132" s="26" t="n"/>
      <c r="K132" s="27">
        <f>IF(N(I132)=0,"",ROUND(I132*J132,2))</f>
        <v/>
      </c>
      <c r="L132" s="27">
        <f>IF(N(I132)=0,"",IF(P132="SI",I132,I132+N(K132)))</f>
        <v/>
      </c>
      <c r="M132" s="23" t="n"/>
      <c r="N132" s="26" t="n"/>
      <c r="O132" s="27">
        <f>IF(N(I132)=0,"",ROUND(N(K132)*N(N132),2))</f>
        <v/>
      </c>
      <c r="P132" s="23" t="n"/>
      <c r="Q132" s="23" t="n"/>
      <c r="R132" s="23" t="n"/>
    </row>
    <row r="133">
      <c r="A133" s="23" t="n"/>
      <c r="B133" s="23" t="n"/>
      <c r="C133" s="24" t="n"/>
      <c r="D133" s="24" t="n"/>
      <c r="E133" s="23" t="n"/>
      <c r="F133" s="23" t="n"/>
      <c r="G133" s="23" t="n"/>
      <c r="H133" s="23" t="n"/>
      <c r="I133" s="25" t="n"/>
      <c r="J133" s="26" t="n"/>
      <c r="K133" s="27">
        <f>IF(N(I133)=0,"",ROUND(I133*J133,2))</f>
        <v/>
      </c>
      <c r="L133" s="27">
        <f>IF(N(I133)=0,"",IF(P133="SI",I133,I133+N(K133)))</f>
        <v/>
      </c>
      <c r="M133" s="23" t="n"/>
      <c r="N133" s="26" t="n"/>
      <c r="O133" s="27">
        <f>IF(N(I133)=0,"",ROUND(N(K133)*N(N133),2))</f>
        <v/>
      </c>
      <c r="P133" s="23" t="n"/>
      <c r="Q133" s="23" t="n"/>
      <c r="R133" s="23" t="n"/>
    </row>
    <row r="134">
      <c r="A134" s="23" t="n"/>
      <c r="B134" s="23" t="n"/>
      <c r="C134" s="24" t="n"/>
      <c r="D134" s="24" t="n"/>
      <c r="E134" s="23" t="n"/>
      <c r="F134" s="23" t="n"/>
      <c r="G134" s="23" t="n"/>
      <c r="H134" s="23" t="n"/>
      <c r="I134" s="25" t="n"/>
      <c r="J134" s="26" t="n"/>
      <c r="K134" s="27">
        <f>IF(N(I134)=0,"",ROUND(I134*J134,2))</f>
        <v/>
      </c>
      <c r="L134" s="27">
        <f>IF(N(I134)=0,"",IF(P134="SI",I134,I134+N(K134)))</f>
        <v/>
      </c>
      <c r="M134" s="23" t="n"/>
      <c r="N134" s="26" t="n"/>
      <c r="O134" s="27">
        <f>IF(N(I134)=0,"",ROUND(N(K134)*N(N134),2))</f>
        <v/>
      </c>
      <c r="P134" s="23" t="n"/>
      <c r="Q134" s="23" t="n"/>
      <c r="R134" s="23" t="n"/>
    </row>
    <row r="135">
      <c r="A135" s="23" t="n"/>
      <c r="B135" s="23" t="n"/>
      <c r="C135" s="24" t="n"/>
      <c r="D135" s="24" t="n"/>
      <c r="E135" s="23" t="n"/>
      <c r="F135" s="23" t="n"/>
      <c r="G135" s="23" t="n"/>
      <c r="H135" s="23" t="n"/>
      <c r="I135" s="25" t="n"/>
      <c r="J135" s="26" t="n"/>
      <c r="K135" s="27">
        <f>IF(N(I135)=0,"",ROUND(I135*J135,2))</f>
        <v/>
      </c>
      <c r="L135" s="27">
        <f>IF(N(I135)=0,"",IF(P135="SI",I135,I135+N(K135)))</f>
        <v/>
      </c>
      <c r="M135" s="23" t="n"/>
      <c r="N135" s="26" t="n"/>
      <c r="O135" s="27">
        <f>IF(N(I135)=0,"",ROUND(N(K135)*N(N135),2))</f>
        <v/>
      </c>
      <c r="P135" s="23" t="n"/>
      <c r="Q135" s="23" t="n"/>
      <c r="R135" s="23" t="n"/>
    </row>
    <row r="136">
      <c r="A136" s="23" t="n"/>
      <c r="B136" s="23" t="n"/>
      <c r="C136" s="24" t="n"/>
      <c r="D136" s="24" t="n"/>
      <c r="E136" s="23" t="n"/>
      <c r="F136" s="23" t="n"/>
      <c r="G136" s="23" t="n"/>
      <c r="H136" s="23" t="n"/>
      <c r="I136" s="25" t="n"/>
      <c r="J136" s="26" t="n"/>
      <c r="K136" s="27">
        <f>IF(N(I136)=0,"",ROUND(I136*J136,2))</f>
        <v/>
      </c>
      <c r="L136" s="27">
        <f>IF(N(I136)=0,"",IF(P136="SI",I136,I136+N(K136)))</f>
        <v/>
      </c>
      <c r="M136" s="23" t="n"/>
      <c r="N136" s="26" t="n"/>
      <c r="O136" s="27">
        <f>IF(N(I136)=0,"",ROUND(N(K136)*N(N136),2))</f>
        <v/>
      </c>
      <c r="P136" s="23" t="n"/>
      <c r="Q136" s="23" t="n"/>
      <c r="R136" s="23" t="n"/>
    </row>
    <row r="137">
      <c r="A137" s="23" t="n"/>
      <c r="B137" s="23" t="n"/>
      <c r="C137" s="24" t="n"/>
      <c r="D137" s="24" t="n"/>
      <c r="E137" s="23" t="n"/>
      <c r="F137" s="23" t="n"/>
      <c r="G137" s="23" t="n"/>
      <c r="H137" s="23" t="n"/>
      <c r="I137" s="25" t="n"/>
      <c r="J137" s="26" t="n"/>
      <c r="K137" s="27">
        <f>IF(N(I137)=0,"",ROUND(I137*J137,2))</f>
        <v/>
      </c>
      <c r="L137" s="27">
        <f>IF(N(I137)=0,"",IF(P137="SI",I137,I137+N(K137)))</f>
        <v/>
      </c>
      <c r="M137" s="23" t="n"/>
      <c r="N137" s="26" t="n"/>
      <c r="O137" s="27">
        <f>IF(N(I137)=0,"",ROUND(N(K137)*N(N137),2))</f>
        <v/>
      </c>
      <c r="P137" s="23" t="n"/>
      <c r="Q137" s="23" t="n"/>
      <c r="R137" s="23" t="n"/>
    </row>
    <row r="138">
      <c r="A138" s="23" t="n"/>
      <c r="B138" s="23" t="n"/>
      <c r="C138" s="24" t="n"/>
      <c r="D138" s="24" t="n"/>
      <c r="E138" s="23" t="n"/>
      <c r="F138" s="23" t="n"/>
      <c r="G138" s="23" t="n"/>
      <c r="H138" s="23" t="n"/>
      <c r="I138" s="25" t="n"/>
      <c r="J138" s="26" t="n"/>
      <c r="K138" s="27">
        <f>IF(N(I138)=0,"",ROUND(I138*J138,2))</f>
        <v/>
      </c>
      <c r="L138" s="27">
        <f>IF(N(I138)=0,"",IF(P138="SI",I138,I138+N(K138)))</f>
        <v/>
      </c>
      <c r="M138" s="23" t="n"/>
      <c r="N138" s="26" t="n"/>
      <c r="O138" s="27">
        <f>IF(N(I138)=0,"",ROUND(N(K138)*N(N138),2))</f>
        <v/>
      </c>
      <c r="P138" s="23" t="n"/>
      <c r="Q138" s="23" t="n"/>
      <c r="R138" s="23" t="n"/>
    </row>
    <row r="139">
      <c r="A139" s="23" t="n"/>
      <c r="B139" s="23" t="n"/>
      <c r="C139" s="24" t="n"/>
      <c r="D139" s="24" t="n"/>
      <c r="E139" s="23" t="n"/>
      <c r="F139" s="23" t="n"/>
      <c r="G139" s="23" t="n"/>
      <c r="H139" s="23" t="n"/>
      <c r="I139" s="25" t="n"/>
      <c r="J139" s="26" t="n"/>
      <c r="K139" s="27">
        <f>IF(N(I139)=0,"",ROUND(I139*J139,2))</f>
        <v/>
      </c>
      <c r="L139" s="27">
        <f>IF(N(I139)=0,"",IF(P139="SI",I139,I139+N(K139)))</f>
        <v/>
      </c>
      <c r="M139" s="23" t="n"/>
      <c r="N139" s="26" t="n"/>
      <c r="O139" s="27">
        <f>IF(N(I139)=0,"",ROUND(N(K139)*N(N139),2))</f>
        <v/>
      </c>
      <c r="P139" s="23" t="n"/>
      <c r="Q139" s="23" t="n"/>
      <c r="R139" s="23" t="n"/>
    </row>
    <row r="140">
      <c r="A140" s="23" t="n"/>
      <c r="B140" s="23" t="n"/>
      <c r="C140" s="24" t="n"/>
      <c r="D140" s="24" t="n"/>
      <c r="E140" s="23" t="n"/>
      <c r="F140" s="23" t="n"/>
      <c r="G140" s="23" t="n"/>
      <c r="H140" s="23" t="n"/>
      <c r="I140" s="25" t="n"/>
      <c r="J140" s="26" t="n"/>
      <c r="K140" s="27">
        <f>IF(N(I140)=0,"",ROUND(I140*J140,2))</f>
        <v/>
      </c>
      <c r="L140" s="27">
        <f>IF(N(I140)=0,"",IF(P140="SI",I140,I140+N(K140)))</f>
        <v/>
      </c>
      <c r="M140" s="23" t="n"/>
      <c r="N140" s="26" t="n"/>
      <c r="O140" s="27">
        <f>IF(N(I140)=0,"",ROUND(N(K140)*N(N140),2))</f>
        <v/>
      </c>
      <c r="P140" s="23" t="n"/>
      <c r="Q140" s="23" t="n"/>
      <c r="R140" s="23" t="n"/>
    </row>
    <row r="141">
      <c r="A141" s="23" t="n"/>
      <c r="B141" s="23" t="n"/>
      <c r="C141" s="24" t="n"/>
      <c r="D141" s="24" t="n"/>
      <c r="E141" s="23" t="n"/>
      <c r="F141" s="23" t="n"/>
      <c r="G141" s="23" t="n"/>
      <c r="H141" s="23" t="n"/>
      <c r="I141" s="25" t="n"/>
      <c r="J141" s="26" t="n"/>
      <c r="K141" s="27">
        <f>IF(N(I141)=0,"",ROUND(I141*J141,2))</f>
        <v/>
      </c>
      <c r="L141" s="27">
        <f>IF(N(I141)=0,"",IF(P141="SI",I141,I141+N(K141)))</f>
        <v/>
      </c>
      <c r="M141" s="23" t="n"/>
      <c r="N141" s="26" t="n"/>
      <c r="O141" s="27">
        <f>IF(N(I141)=0,"",ROUND(N(K141)*N(N141),2))</f>
        <v/>
      </c>
      <c r="P141" s="23" t="n"/>
      <c r="Q141" s="23" t="n"/>
      <c r="R141" s="23" t="n"/>
    </row>
    <row r="142">
      <c r="A142" s="23" t="n"/>
      <c r="B142" s="23" t="n"/>
      <c r="C142" s="24" t="n"/>
      <c r="D142" s="24" t="n"/>
      <c r="E142" s="23" t="n"/>
      <c r="F142" s="23" t="n"/>
      <c r="G142" s="23" t="n"/>
      <c r="H142" s="23" t="n"/>
      <c r="I142" s="25" t="n"/>
      <c r="J142" s="26" t="n"/>
      <c r="K142" s="27">
        <f>IF(N(I142)=0,"",ROUND(I142*J142,2))</f>
        <v/>
      </c>
      <c r="L142" s="27">
        <f>IF(N(I142)=0,"",IF(P142="SI",I142,I142+N(K142)))</f>
        <v/>
      </c>
      <c r="M142" s="23" t="n"/>
      <c r="N142" s="26" t="n"/>
      <c r="O142" s="27">
        <f>IF(N(I142)=0,"",ROUND(N(K142)*N(N142),2))</f>
        <v/>
      </c>
      <c r="P142" s="23" t="n"/>
      <c r="Q142" s="23" t="n"/>
      <c r="R142" s="23" t="n"/>
    </row>
    <row r="143">
      <c r="A143" s="23" t="n"/>
      <c r="B143" s="23" t="n"/>
      <c r="C143" s="24" t="n"/>
      <c r="D143" s="24" t="n"/>
      <c r="E143" s="23" t="n"/>
      <c r="F143" s="23" t="n"/>
      <c r="G143" s="23" t="n"/>
      <c r="H143" s="23" t="n"/>
      <c r="I143" s="25" t="n"/>
      <c r="J143" s="26" t="n"/>
      <c r="K143" s="27">
        <f>IF(N(I143)=0,"",ROUND(I143*J143,2))</f>
        <v/>
      </c>
      <c r="L143" s="27">
        <f>IF(N(I143)=0,"",IF(P143="SI",I143,I143+N(K143)))</f>
        <v/>
      </c>
      <c r="M143" s="23" t="n"/>
      <c r="N143" s="26" t="n"/>
      <c r="O143" s="27">
        <f>IF(N(I143)=0,"",ROUND(N(K143)*N(N143),2))</f>
        <v/>
      </c>
      <c r="P143" s="23" t="n"/>
      <c r="Q143" s="23" t="n"/>
      <c r="R143" s="23" t="n"/>
    </row>
    <row r="144">
      <c r="A144" s="23" t="n"/>
      <c r="B144" s="23" t="n"/>
      <c r="C144" s="24" t="n"/>
      <c r="D144" s="24" t="n"/>
      <c r="E144" s="23" t="n"/>
      <c r="F144" s="23" t="n"/>
      <c r="G144" s="23" t="n"/>
      <c r="H144" s="23" t="n"/>
      <c r="I144" s="25" t="n"/>
      <c r="J144" s="26" t="n"/>
      <c r="K144" s="27">
        <f>IF(N(I144)=0,"",ROUND(I144*J144,2))</f>
        <v/>
      </c>
      <c r="L144" s="27">
        <f>IF(N(I144)=0,"",IF(P144="SI",I144,I144+N(K144)))</f>
        <v/>
      </c>
      <c r="M144" s="23" t="n"/>
      <c r="N144" s="26" t="n"/>
      <c r="O144" s="27">
        <f>IF(N(I144)=0,"",ROUND(N(K144)*N(N144),2))</f>
        <v/>
      </c>
      <c r="P144" s="23" t="n"/>
      <c r="Q144" s="23" t="n"/>
      <c r="R144" s="23" t="n"/>
    </row>
    <row r="145">
      <c r="A145" s="23" t="n"/>
      <c r="B145" s="23" t="n"/>
      <c r="C145" s="24" t="n"/>
      <c r="D145" s="24" t="n"/>
      <c r="E145" s="23" t="n"/>
      <c r="F145" s="23" t="n"/>
      <c r="G145" s="23" t="n"/>
      <c r="H145" s="23" t="n"/>
      <c r="I145" s="25" t="n"/>
      <c r="J145" s="26" t="n"/>
      <c r="K145" s="27">
        <f>IF(N(I145)=0,"",ROUND(I145*J145,2))</f>
        <v/>
      </c>
      <c r="L145" s="27">
        <f>IF(N(I145)=0,"",IF(P145="SI",I145,I145+N(K145)))</f>
        <v/>
      </c>
      <c r="M145" s="23" t="n"/>
      <c r="N145" s="26" t="n"/>
      <c r="O145" s="27">
        <f>IF(N(I145)=0,"",ROUND(N(K145)*N(N145),2))</f>
        <v/>
      </c>
      <c r="P145" s="23" t="n"/>
      <c r="Q145" s="23" t="n"/>
      <c r="R145" s="23" t="n"/>
    </row>
    <row r="146">
      <c r="A146" s="23" t="n"/>
      <c r="B146" s="23" t="n"/>
      <c r="C146" s="24" t="n"/>
      <c r="D146" s="24" t="n"/>
      <c r="E146" s="23" t="n"/>
      <c r="F146" s="23" t="n"/>
      <c r="G146" s="23" t="n"/>
      <c r="H146" s="23" t="n"/>
      <c r="I146" s="25" t="n"/>
      <c r="J146" s="26" t="n"/>
      <c r="K146" s="27">
        <f>IF(N(I146)=0,"",ROUND(I146*J146,2))</f>
        <v/>
      </c>
      <c r="L146" s="27">
        <f>IF(N(I146)=0,"",IF(P146="SI",I146,I146+N(K146)))</f>
        <v/>
      </c>
      <c r="M146" s="23" t="n"/>
      <c r="N146" s="26" t="n"/>
      <c r="O146" s="27">
        <f>IF(N(I146)=0,"",ROUND(N(K146)*N(N146),2))</f>
        <v/>
      </c>
      <c r="P146" s="23" t="n"/>
      <c r="Q146" s="23" t="n"/>
      <c r="R146" s="23" t="n"/>
    </row>
    <row r="147">
      <c r="A147" s="23" t="n"/>
      <c r="B147" s="23" t="n"/>
      <c r="C147" s="24" t="n"/>
      <c r="D147" s="24" t="n"/>
      <c r="E147" s="23" t="n"/>
      <c r="F147" s="23" t="n"/>
      <c r="G147" s="23" t="n"/>
      <c r="H147" s="23" t="n"/>
      <c r="I147" s="25" t="n"/>
      <c r="J147" s="26" t="n"/>
      <c r="K147" s="27">
        <f>IF(N(I147)=0,"",ROUND(I147*J147,2))</f>
        <v/>
      </c>
      <c r="L147" s="27">
        <f>IF(N(I147)=0,"",IF(P147="SI",I147,I147+N(K147)))</f>
        <v/>
      </c>
      <c r="M147" s="23" t="n"/>
      <c r="N147" s="26" t="n"/>
      <c r="O147" s="27">
        <f>IF(N(I147)=0,"",ROUND(N(K147)*N(N147),2))</f>
        <v/>
      </c>
      <c r="P147" s="23" t="n"/>
      <c r="Q147" s="23" t="n"/>
      <c r="R147" s="23" t="n"/>
    </row>
    <row r="148">
      <c r="A148" s="23" t="n"/>
      <c r="B148" s="23" t="n"/>
      <c r="C148" s="24" t="n"/>
      <c r="D148" s="24" t="n"/>
      <c r="E148" s="23" t="n"/>
      <c r="F148" s="23" t="n"/>
      <c r="G148" s="23" t="n"/>
      <c r="H148" s="23" t="n"/>
      <c r="I148" s="25" t="n"/>
      <c r="J148" s="26" t="n"/>
      <c r="K148" s="27">
        <f>IF(N(I148)=0,"",ROUND(I148*J148,2))</f>
        <v/>
      </c>
      <c r="L148" s="27">
        <f>IF(N(I148)=0,"",IF(P148="SI",I148,I148+N(K148)))</f>
        <v/>
      </c>
      <c r="M148" s="23" t="n"/>
      <c r="N148" s="26" t="n"/>
      <c r="O148" s="27">
        <f>IF(N(I148)=0,"",ROUND(N(K148)*N(N148),2))</f>
        <v/>
      </c>
      <c r="P148" s="23" t="n"/>
      <c r="Q148" s="23" t="n"/>
      <c r="R148" s="23" t="n"/>
    </row>
    <row r="149">
      <c r="A149" s="23" t="n"/>
      <c r="B149" s="23" t="n"/>
      <c r="C149" s="24" t="n"/>
      <c r="D149" s="24" t="n"/>
      <c r="E149" s="23" t="n"/>
      <c r="F149" s="23" t="n"/>
      <c r="G149" s="23" t="n"/>
      <c r="H149" s="23" t="n"/>
      <c r="I149" s="25" t="n"/>
      <c r="J149" s="26" t="n"/>
      <c r="K149" s="27">
        <f>IF(N(I149)=0,"",ROUND(I149*J149,2))</f>
        <v/>
      </c>
      <c r="L149" s="27">
        <f>IF(N(I149)=0,"",IF(P149="SI",I149,I149+N(K149)))</f>
        <v/>
      </c>
      <c r="M149" s="23" t="n"/>
      <c r="N149" s="26" t="n"/>
      <c r="O149" s="27">
        <f>IF(N(I149)=0,"",ROUND(N(K149)*N(N149),2))</f>
        <v/>
      </c>
      <c r="P149" s="23" t="n"/>
      <c r="Q149" s="23" t="n"/>
      <c r="R149" s="23" t="n"/>
    </row>
    <row r="150">
      <c r="A150" s="23" t="n"/>
      <c r="B150" s="23" t="n"/>
      <c r="C150" s="24" t="n"/>
      <c r="D150" s="24" t="n"/>
      <c r="E150" s="23" t="n"/>
      <c r="F150" s="23" t="n"/>
      <c r="G150" s="23" t="n"/>
      <c r="H150" s="23" t="n"/>
      <c r="I150" s="25" t="n"/>
      <c r="J150" s="26" t="n"/>
      <c r="K150" s="27">
        <f>IF(N(I150)=0,"",ROUND(I150*J150,2))</f>
        <v/>
      </c>
      <c r="L150" s="27">
        <f>IF(N(I150)=0,"",IF(P150="SI",I150,I150+N(K150)))</f>
        <v/>
      </c>
      <c r="M150" s="23" t="n"/>
      <c r="N150" s="26" t="n"/>
      <c r="O150" s="27">
        <f>IF(N(I150)=0,"",ROUND(N(K150)*N(N150),2))</f>
        <v/>
      </c>
      <c r="P150" s="23" t="n"/>
      <c r="Q150" s="23" t="n"/>
      <c r="R150" s="23" t="n"/>
    </row>
    <row r="151">
      <c r="A151" s="23" t="n"/>
      <c r="B151" s="23" t="n"/>
      <c r="C151" s="24" t="n"/>
      <c r="D151" s="24" t="n"/>
      <c r="E151" s="23" t="n"/>
      <c r="F151" s="23" t="n"/>
      <c r="G151" s="23" t="n"/>
      <c r="H151" s="23" t="n"/>
      <c r="I151" s="25" t="n"/>
      <c r="J151" s="26" t="n"/>
      <c r="K151" s="27">
        <f>IF(N(I151)=0,"",ROUND(I151*J151,2))</f>
        <v/>
      </c>
      <c r="L151" s="27">
        <f>IF(N(I151)=0,"",IF(P151="SI",I151,I151+N(K151)))</f>
        <v/>
      </c>
      <c r="M151" s="23" t="n"/>
      <c r="N151" s="26" t="n"/>
      <c r="O151" s="27">
        <f>IF(N(I151)=0,"",ROUND(N(K151)*N(N151),2))</f>
        <v/>
      </c>
      <c r="P151" s="23" t="n"/>
      <c r="Q151" s="23" t="n"/>
      <c r="R151" s="23" t="n"/>
    </row>
    <row r="152">
      <c r="A152" s="23" t="n"/>
      <c r="B152" s="23" t="n"/>
      <c r="C152" s="24" t="n"/>
      <c r="D152" s="24" t="n"/>
      <c r="E152" s="23" t="n"/>
      <c r="F152" s="23" t="n"/>
      <c r="G152" s="23" t="n"/>
      <c r="H152" s="23" t="n"/>
      <c r="I152" s="25" t="n"/>
      <c r="J152" s="26" t="n"/>
      <c r="K152" s="27">
        <f>IF(N(I152)=0,"",ROUND(I152*J152,2))</f>
        <v/>
      </c>
      <c r="L152" s="27">
        <f>IF(N(I152)=0,"",IF(P152="SI",I152,I152+N(K152)))</f>
        <v/>
      </c>
      <c r="M152" s="23" t="n"/>
      <c r="N152" s="26" t="n"/>
      <c r="O152" s="27">
        <f>IF(N(I152)=0,"",ROUND(N(K152)*N(N152),2))</f>
        <v/>
      </c>
      <c r="P152" s="23" t="n"/>
      <c r="Q152" s="23" t="n"/>
      <c r="R152" s="23" t="n"/>
    </row>
    <row r="153">
      <c r="A153" s="23" t="n"/>
      <c r="B153" s="23" t="n"/>
      <c r="C153" s="24" t="n"/>
      <c r="D153" s="24" t="n"/>
      <c r="E153" s="23" t="n"/>
      <c r="F153" s="23" t="n"/>
      <c r="G153" s="23" t="n"/>
      <c r="H153" s="23" t="n"/>
      <c r="I153" s="25" t="n"/>
      <c r="J153" s="26" t="n"/>
      <c r="K153" s="27">
        <f>IF(N(I153)=0,"",ROUND(I153*J153,2))</f>
        <v/>
      </c>
      <c r="L153" s="27">
        <f>IF(N(I153)=0,"",IF(P153="SI",I153,I153+N(K153)))</f>
        <v/>
      </c>
      <c r="M153" s="23" t="n"/>
      <c r="N153" s="26" t="n"/>
      <c r="O153" s="27">
        <f>IF(N(I153)=0,"",ROUND(N(K153)*N(N153),2))</f>
        <v/>
      </c>
      <c r="P153" s="23" t="n"/>
      <c r="Q153" s="23" t="n"/>
      <c r="R153" s="23" t="n"/>
    </row>
    <row r="154">
      <c r="A154" s="23" t="n"/>
      <c r="B154" s="23" t="n"/>
      <c r="C154" s="24" t="n"/>
      <c r="D154" s="24" t="n"/>
      <c r="E154" s="23" t="n"/>
      <c r="F154" s="23" t="n"/>
      <c r="G154" s="23" t="n"/>
      <c r="H154" s="23" t="n"/>
      <c r="I154" s="25" t="n"/>
      <c r="J154" s="26" t="n"/>
      <c r="K154" s="27">
        <f>IF(N(I154)=0,"",ROUND(I154*J154,2))</f>
        <v/>
      </c>
      <c r="L154" s="27">
        <f>IF(N(I154)=0,"",IF(P154="SI",I154,I154+N(K154)))</f>
        <v/>
      </c>
      <c r="M154" s="23" t="n"/>
      <c r="N154" s="26" t="n"/>
      <c r="O154" s="27">
        <f>IF(N(I154)=0,"",ROUND(N(K154)*N(N154),2))</f>
        <v/>
      </c>
      <c r="P154" s="23" t="n"/>
      <c r="Q154" s="23" t="n"/>
      <c r="R154" s="23" t="n"/>
    </row>
    <row r="155">
      <c r="A155" s="23" t="n"/>
      <c r="B155" s="23" t="n"/>
      <c r="C155" s="24" t="n"/>
      <c r="D155" s="24" t="n"/>
      <c r="E155" s="23" t="n"/>
      <c r="F155" s="23" t="n"/>
      <c r="G155" s="23" t="n"/>
      <c r="H155" s="23" t="n"/>
      <c r="I155" s="25" t="n"/>
      <c r="J155" s="26" t="n"/>
      <c r="K155" s="27">
        <f>IF(N(I155)=0,"",ROUND(I155*J155,2))</f>
        <v/>
      </c>
      <c r="L155" s="27">
        <f>IF(N(I155)=0,"",IF(P155="SI",I155,I155+N(K155)))</f>
        <v/>
      </c>
      <c r="M155" s="23" t="n"/>
      <c r="N155" s="26" t="n"/>
      <c r="O155" s="27">
        <f>IF(N(I155)=0,"",ROUND(N(K155)*N(N155),2))</f>
        <v/>
      </c>
      <c r="P155" s="23" t="n"/>
      <c r="Q155" s="23" t="n"/>
      <c r="R155" s="23" t="n"/>
    </row>
    <row r="156">
      <c r="A156" s="23" t="n"/>
      <c r="B156" s="23" t="n"/>
      <c r="C156" s="24" t="n"/>
      <c r="D156" s="24" t="n"/>
      <c r="E156" s="23" t="n"/>
      <c r="F156" s="23" t="n"/>
      <c r="G156" s="23" t="n"/>
      <c r="H156" s="23" t="n"/>
      <c r="I156" s="25" t="n"/>
      <c r="J156" s="26" t="n"/>
      <c r="K156" s="27">
        <f>IF(N(I156)=0,"",ROUND(I156*J156,2))</f>
        <v/>
      </c>
      <c r="L156" s="27">
        <f>IF(N(I156)=0,"",IF(P156="SI",I156,I156+N(K156)))</f>
        <v/>
      </c>
      <c r="M156" s="23" t="n"/>
      <c r="N156" s="26" t="n"/>
      <c r="O156" s="27">
        <f>IF(N(I156)=0,"",ROUND(N(K156)*N(N156),2))</f>
        <v/>
      </c>
      <c r="P156" s="23" t="n"/>
      <c r="Q156" s="23" t="n"/>
      <c r="R156" s="23" t="n"/>
    </row>
    <row r="157">
      <c r="A157" s="23" t="n"/>
      <c r="B157" s="23" t="n"/>
      <c r="C157" s="24" t="n"/>
      <c r="D157" s="24" t="n"/>
      <c r="E157" s="23" t="n"/>
      <c r="F157" s="23" t="n"/>
      <c r="G157" s="23" t="n"/>
      <c r="H157" s="23" t="n"/>
      <c r="I157" s="25" t="n"/>
      <c r="J157" s="26" t="n"/>
      <c r="K157" s="27">
        <f>IF(N(I157)=0,"",ROUND(I157*J157,2))</f>
        <v/>
      </c>
      <c r="L157" s="27">
        <f>IF(N(I157)=0,"",IF(P157="SI",I157,I157+N(K157)))</f>
        <v/>
      </c>
      <c r="M157" s="23" t="n"/>
      <c r="N157" s="26" t="n"/>
      <c r="O157" s="27">
        <f>IF(N(I157)=0,"",ROUND(N(K157)*N(N157),2))</f>
        <v/>
      </c>
      <c r="P157" s="23" t="n"/>
      <c r="Q157" s="23" t="n"/>
      <c r="R157" s="23" t="n"/>
    </row>
    <row r="158">
      <c r="A158" s="23" t="n"/>
      <c r="B158" s="23" t="n"/>
      <c r="C158" s="24" t="n"/>
      <c r="D158" s="24" t="n"/>
      <c r="E158" s="23" t="n"/>
      <c r="F158" s="23" t="n"/>
      <c r="G158" s="23" t="n"/>
      <c r="H158" s="23" t="n"/>
      <c r="I158" s="25" t="n"/>
      <c r="J158" s="26" t="n"/>
      <c r="K158" s="27">
        <f>IF(N(I158)=0,"",ROUND(I158*J158,2))</f>
        <v/>
      </c>
      <c r="L158" s="27">
        <f>IF(N(I158)=0,"",IF(P158="SI",I158,I158+N(K158)))</f>
        <v/>
      </c>
      <c r="M158" s="23" t="n"/>
      <c r="N158" s="26" t="n"/>
      <c r="O158" s="27">
        <f>IF(N(I158)=0,"",ROUND(N(K158)*N(N158),2))</f>
        <v/>
      </c>
      <c r="P158" s="23" t="n"/>
      <c r="Q158" s="23" t="n"/>
      <c r="R158" s="23" t="n"/>
    </row>
    <row r="159">
      <c r="A159" s="23" t="n"/>
      <c r="B159" s="23" t="n"/>
      <c r="C159" s="24" t="n"/>
      <c r="D159" s="24" t="n"/>
      <c r="E159" s="23" t="n"/>
      <c r="F159" s="23" t="n"/>
      <c r="G159" s="23" t="n"/>
      <c r="H159" s="23" t="n"/>
      <c r="I159" s="25" t="n"/>
      <c r="J159" s="26" t="n"/>
      <c r="K159" s="27">
        <f>IF(N(I159)=0,"",ROUND(I159*J159,2))</f>
        <v/>
      </c>
      <c r="L159" s="27">
        <f>IF(N(I159)=0,"",IF(P159="SI",I159,I159+N(K159)))</f>
        <v/>
      </c>
      <c r="M159" s="23" t="n"/>
      <c r="N159" s="26" t="n"/>
      <c r="O159" s="27">
        <f>IF(N(I159)=0,"",ROUND(N(K159)*N(N159),2))</f>
        <v/>
      </c>
      <c r="P159" s="23" t="n"/>
      <c r="Q159" s="23" t="n"/>
      <c r="R159" s="23" t="n"/>
    </row>
    <row r="160">
      <c r="A160" s="23" t="n"/>
      <c r="B160" s="23" t="n"/>
      <c r="C160" s="24" t="n"/>
      <c r="D160" s="24" t="n"/>
      <c r="E160" s="23" t="n"/>
      <c r="F160" s="23" t="n"/>
      <c r="G160" s="23" t="n"/>
      <c r="H160" s="23" t="n"/>
      <c r="I160" s="25" t="n"/>
      <c r="J160" s="26" t="n"/>
      <c r="K160" s="27">
        <f>IF(N(I160)=0,"",ROUND(I160*J160,2))</f>
        <v/>
      </c>
      <c r="L160" s="27">
        <f>IF(N(I160)=0,"",IF(P160="SI",I160,I160+N(K160)))</f>
        <v/>
      </c>
      <c r="M160" s="23" t="n"/>
      <c r="N160" s="26" t="n"/>
      <c r="O160" s="27">
        <f>IF(N(I160)=0,"",ROUND(N(K160)*N(N160),2))</f>
        <v/>
      </c>
      <c r="P160" s="23" t="n"/>
      <c r="Q160" s="23" t="n"/>
      <c r="R160" s="23" t="n"/>
    </row>
    <row r="161">
      <c r="A161" s="23" t="n"/>
      <c r="B161" s="23" t="n"/>
      <c r="C161" s="24" t="n"/>
      <c r="D161" s="24" t="n"/>
      <c r="E161" s="23" t="n"/>
      <c r="F161" s="23" t="n"/>
      <c r="G161" s="23" t="n"/>
      <c r="H161" s="23" t="n"/>
      <c r="I161" s="25" t="n"/>
      <c r="J161" s="26" t="n"/>
      <c r="K161" s="27">
        <f>IF(N(I161)=0,"",ROUND(I161*J161,2))</f>
        <v/>
      </c>
      <c r="L161" s="27">
        <f>IF(N(I161)=0,"",IF(P161="SI",I161,I161+N(K161)))</f>
        <v/>
      </c>
      <c r="M161" s="23" t="n"/>
      <c r="N161" s="26" t="n"/>
      <c r="O161" s="27">
        <f>IF(N(I161)=0,"",ROUND(N(K161)*N(N161),2))</f>
        <v/>
      </c>
      <c r="P161" s="23" t="n"/>
      <c r="Q161" s="23" t="n"/>
      <c r="R161" s="23" t="n"/>
    </row>
    <row r="162">
      <c r="A162" s="23" t="n"/>
      <c r="B162" s="23" t="n"/>
      <c r="C162" s="24" t="n"/>
      <c r="D162" s="24" t="n"/>
      <c r="E162" s="23" t="n"/>
      <c r="F162" s="23" t="n"/>
      <c r="G162" s="23" t="n"/>
      <c r="H162" s="23" t="n"/>
      <c r="I162" s="25" t="n"/>
      <c r="J162" s="26" t="n"/>
      <c r="K162" s="27">
        <f>IF(N(I162)=0,"",ROUND(I162*J162,2))</f>
        <v/>
      </c>
      <c r="L162" s="27">
        <f>IF(N(I162)=0,"",IF(P162="SI",I162,I162+N(K162)))</f>
        <v/>
      </c>
      <c r="M162" s="23" t="n"/>
      <c r="N162" s="26" t="n"/>
      <c r="O162" s="27">
        <f>IF(N(I162)=0,"",ROUND(N(K162)*N(N162),2))</f>
        <v/>
      </c>
      <c r="P162" s="23" t="n"/>
      <c r="Q162" s="23" t="n"/>
      <c r="R162" s="23" t="n"/>
    </row>
    <row r="163">
      <c r="A163" s="23" t="n"/>
      <c r="B163" s="23" t="n"/>
      <c r="C163" s="24" t="n"/>
      <c r="D163" s="24" t="n"/>
      <c r="E163" s="23" t="n"/>
      <c r="F163" s="23" t="n"/>
      <c r="G163" s="23" t="n"/>
      <c r="H163" s="23" t="n"/>
      <c r="I163" s="25" t="n"/>
      <c r="J163" s="26" t="n"/>
      <c r="K163" s="27">
        <f>IF(N(I163)=0,"",ROUND(I163*J163,2))</f>
        <v/>
      </c>
      <c r="L163" s="27">
        <f>IF(N(I163)=0,"",IF(P163="SI",I163,I163+N(K163)))</f>
        <v/>
      </c>
      <c r="M163" s="23" t="n"/>
      <c r="N163" s="26" t="n"/>
      <c r="O163" s="27">
        <f>IF(N(I163)=0,"",ROUND(N(K163)*N(N163),2))</f>
        <v/>
      </c>
      <c r="P163" s="23" t="n"/>
      <c r="Q163" s="23" t="n"/>
      <c r="R163" s="23" t="n"/>
    </row>
    <row r="164">
      <c r="A164" s="23" t="n"/>
      <c r="B164" s="23" t="n"/>
      <c r="C164" s="24" t="n"/>
      <c r="D164" s="24" t="n"/>
      <c r="E164" s="23" t="n"/>
      <c r="F164" s="23" t="n"/>
      <c r="G164" s="23" t="n"/>
      <c r="H164" s="23" t="n"/>
      <c r="I164" s="25" t="n"/>
      <c r="J164" s="26" t="n"/>
      <c r="K164" s="27">
        <f>IF(N(I164)=0,"",ROUND(I164*J164,2))</f>
        <v/>
      </c>
      <c r="L164" s="27">
        <f>IF(N(I164)=0,"",IF(P164="SI",I164,I164+N(K164)))</f>
        <v/>
      </c>
      <c r="M164" s="23" t="n"/>
      <c r="N164" s="26" t="n"/>
      <c r="O164" s="27">
        <f>IF(N(I164)=0,"",ROUND(N(K164)*N(N164),2))</f>
        <v/>
      </c>
      <c r="P164" s="23" t="n"/>
      <c r="Q164" s="23" t="n"/>
      <c r="R164" s="23" t="n"/>
    </row>
    <row r="165">
      <c r="A165" s="23" t="n"/>
      <c r="B165" s="23" t="n"/>
      <c r="C165" s="24" t="n"/>
      <c r="D165" s="24" t="n"/>
      <c r="E165" s="23" t="n"/>
      <c r="F165" s="23" t="n"/>
      <c r="G165" s="23" t="n"/>
      <c r="H165" s="23" t="n"/>
      <c r="I165" s="25" t="n"/>
      <c r="J165" s="26" t="n"/>
      <c r="K165" s="27">
        <f>IF(N(I165)=0,"",ROUND(I165*J165,2))</f>
        <v/>
      </c>
      <c r="L165" s="27">
        <f>IF(N(I165)=0,"",IF(P165="SI",I165,I165+N(K165)))</f>
        <v/>
      </c>
      <c r="M165" s="23" t="n"/>
      <c r="N165" s="26" t="n"/>
      <c r="O165" s="27">
        <f>IF(N(I165)=0,"",ROUND(N(K165)*N(N165),2))</f>
        <v/>
      </c>
      <c r="P165" s="23" t="n"/>
      <c r="Q165" s="23" t="n"/>
      <c r="R165" s="23" t="n"/>
    </row>
    <row r="166">
      <c r="A166" s="23" t="n"/>
      <c r="B166" s="23" t="n"/>
      <c r="C166" s="24" t="n"/>
      <c r="D166" s="24" t="n"/>
      <c r="E166" s="23" t="n"/>
      <c r="F166" s="23" t="n"/>
      <c r="G166" s="23" t="n"/>
      <c r="H166" s="23" t="n"/>
      <c r="I166" s="25" t="n"/>
      <c r="J166" s="26" t="n"/>
      <c r="K166" s="27">
        <f>IF(N(I166)=0,"",ROUND(I166*J166,2))</f>
        <v/>
      </c>
      <c r="L166" s="27">
        <f>IF(N(I166)=0,"",IF(P166="SI",I166,I166+N(K166)))</f>
        <v/>
      </c>
      <c r="M166" s="23" t="n"/>
      <c r="N166" s="26" t="n"/>
      <c r="O166" s="27">
        <f>IF(N(I166)=0,"",ROUND(N(K166)*N(N166),2))</f>
        <v/>
      </c>
      <c r="P166" s="23" t="n"/>
      <c r="Q166" s="23" t="n"/>
      <c r="R166" s="23" t="n"/>
    </row>
    <row r="167">
      <c r="A167" s="23" t="n"/>
      <c r="B167" s="23" t="n"/>
      <c r="C167" s="24" t="n"/>
      <c r="D167" s="24" t="n"/>
      <c r="E167" s="23" t="n"/>
      <c r="F167" s="23" t="n"/>
      <c r="G167" s="23" t="n"/>
      <c r="H167" s="23" t="n"/>
      <c r="I167" s="25" t="n"/>
      <c r="J167" s="26" t="n"/>
      <c r="K167" s="27">
        <f>IF(N(I167)=0,"",ROUND(I167*J167,2))</f>
        <v/>
      </c>
      <c r="L167" s="27">
        <f>IF(N(I167)=0,"",IF(P167="SI",I167,I167+N(K167)))</f>
        <v/>
      </c>
      <c r="M167" s="23" t="n"/>
      <c r="N167" s="26" t="n"/>
      <c r="O167" s="27">
        <f>IF(N(I167)=0,"",ROUND(N(K167)*N(N167),2))</f>
        <v/>
      </c>
      <c r="P167" s="23" t="n"/>
      <c r="Q167" s="23" t="n"/>
      <c r="R167" s="23" t="n"/>
    </row>
    <row r="168">
      <c r="A168" s="23" t="n"/>
      <c r="B168" s="23" t="n"/>
      <c r="C168" s="24" t="n"/>
      <c r="D168" s="24" t="n"/>
      <c r="E168" s="23" t="n"/>
      <c r="F168" s="23" t="n"/>
      <c r="G168" s="23" t="n"/>
      <c r="H168" s="23" t="n"/>
      <c r="I168" s="25" t="n"/>
      <c r="J168" s="26" t="n"/>
      <c r="K168" s="27">
        <f>IF(N(I168)=0,"",ROUND(I168*J168,2))</f>
        <v/>
      </c>
      <c r="L168" s="27">
        <f>IF(N(I168)=0,"",IF(P168="SI",I168,I168+N(K168)))</f>
        <v/>
      </c>
      <c r="M168" s="23" t="n"/>
      <c r="N168" s="26" t="n"/>
      <c r="O168" s="27">
        <f>IF(N(I168)=0,"",ROUND(N(K168)*N(N168),2))</f>
        <v/>
      </c>
      <c r="P168" s="23" t="n"/>
      <c r="Q168" s="23" t="n"/>
      <c r="R168" s="23" t="n"/>
    </row>
    <row r="169">
      <c r="A169" s="23" t="n"/>
      <c r="B169" s="23" t="n"/>
      <c r="C169" s="24" t="n"/>
      <c r="D169" s="24" t="n"/>
      <c r="E169" s="23" t="n"/>
      <c r="F169" s="23" t="n"/>
      <c r="G169" s="23" t="n"/>
      <c r="H169" s="23" t="n"/>
      <c r="I169" s="25" t="n"/>
      <c r="J169" s="26" t="n"/>
      <c r="K169" s="27">
        <f>IF(N(I169)=0,"",ROUND(I169*J169,2))</f>
        <v/>
      </c>
      <c r="L169" s="27">
        <f>IF(N(I169)=0,"",IF(P169="SI",I169,I169+N(K169)))</f>
        <v/>
      </c>
      <c r="M169" s="23" t="n"/>
      <c r="N169" s="26" t="n"/>
      <c r="O169" s="27">
        <f>IF(N(I169)=0,"",ROUND(N(K169)*N(N169),2))</f>
        <v/>
      </c>
      <c r="P169" s="23" t="n"/>
      <c r="Q169" s="23" t="n"/>
      <c r="R169" s="23" t="n"/>
    </row>
    <row r="170">
      <c r="A170" s="23" t="n"/>
      <c r="B170" s="23" t="n"/>
      <c r="C170" s="24" t="n"/>
      <c r="D170" s="24" t="n"/>
      <c r="E170" s="23" t="n"/>
      <c r="F170" s="23" t="n"/>
      <c r="G170" s="23" t="n"/>
      <c r="H170" s="23" t="n"/>
      <c r="I170" s="25" t="n"/>
      <c r="J170" s="26" t="n"/>
      <c r="K170" s="27">
        <f>IF(N(I170)=0,"",ROUND(I170*J170,2))</f>
        <v/>
      </c>
      <c r="L170" s="27">
        <f>IF(N(I170)=0,"",IF(P170="SI",I170,I170+N(K170)))</f>
        <v/>
      </c>
      <c r="M170" s="23" t="n"/>
      <c r="N170" s="26" t="n"/>
      <c r="O170" s="27">
        <f>IF(N(I170)=0,"",ROUND(N(K170)*N(N170),2))</f>
        <v/>
      </c>
      <c r="P170" s="23" t="n"/>
      <c r="Q170" s="23" t="n"/>
      <c r="R170" s="23" t="n"/>
    </row>
    <row r="171">
      <c r="A171" s="23" t="n"/>
      <c r="B171" s="23" t="n"/>
      <c r="C171" s="24" t="n"/>
      <c r="D171" s="24" t="n"/>
      <c r="E171" s="23" t="n"/>
      <c r="F171" s="23" t="n"/>
      <c r="G171" s="23" t="n"/>
      <c r="H171" s="23" t="n"/>
      <c r="I171" s="25" t="n"/>
      <c r="J171" s="26" t="n"/>
      <c r="K171" s="27">
        <f>IF(N(I171)=0,"",ROUND(I171*J171,2))</f>
        <v/>
      </c>
      <c r="L171" s="27">
        <f>IF(N(I171)=0,"",IF(P171="SI",I171,I171+N(K171)))</f>
        <v/>
      </c>
      <c r="M171" s="23" t="n"/>
      <c r="N171" s="26" t="n"/>
      <c r="O171" s="27">
        <f>IF(N(I171)=0,"",ROUND(N(K171)*N(N171),2))</f>
        <v/>
      </c>
      <c r="P171" s="23" t="n"/>
      <c r="Q171" s="23" t="n"/>
      <c r="R171" s="23" t="n"/>
    </row>
    <row r="172">
      <c r="A172" s="23" t="n"/>
      <c r="B172" s="23" t="n"/>
      <c r="C172" s="24" t="n"/>
      <c r="D172" s="24" t="n"/>
      <c r="E172" s="23" t="n"/>
      <c r="F172" s="23" t="n"/>
      <c r="G172" s="23" t="n"/>
      <c r="H172" s="23" t="n"/>
      <c r="I172" s="25" t="n"/>
      <c r="J172" s="26" t="n"/>
      <c r="K172" s="27">
        <f>IF(N(I172)=0,"",ROUND(I172*J172,2))</f>
        <v/>
      </c>
      <c r="L172" s="27">
        <f>IF(N(I172)=0,"",IF(P172="SI",I172,I172+N(K172)))</f>
        <v/>
      </c>
      <c r="M172" s="23" t="n"/>
      <c r="N172" s="26" t="n"/>
      <c r="O172" s="27">
        <f>IF(N(I172)=0,"",ROUND(N(K172)*N(N172),2))</f>
        <v/>
      </c>
      <c r="P172" s="23" t="n"/>
      <c r="Q172" s="23" t="n"/>
      <c r="R172" s="23" t="n"/>
    </row>
    <row r="173">
      <c r="A173" s="23" t="n"/>
      <c r="B173" s="23" t="n"/>
      <c r="C173" s="24" t="n"/>
      <c r="D173" s="24" t="n"/>
      <c r="E173" s="23" t="n"/>
      <c r="F173" s="23" t="n"/>
      <c r="G173" s="23" t="n"/>
      <c r="H173" s="23" t="n"/>
      <c r="I173" s="25" t="n"/>
      <c r="J173" s="26" t="n"/>
      <c r="K173" s="27">
        <f>IF(N(I173)=0,"",ROUND(I173*J173,2))</f>
        <v/>
      </c>
      <c r="L173" s="27">
        <f>IF(N(I173)=0,"",IF(P173="SI",I173,I173+N(K173)))</f>
        <v/>
      </c>
      <c r="M173" s="23" t="n"/>
      <c r="N173" s="26" t="n"/>
      <c r="O173" s="27">
        <f>IF(N(I173)=0,"",ROUND(N(K173)*N(N173),2))</f>
        <v/>
      </c>
      <c r="P173" s="23" t="n"/>
      <c r="Q173" s="23" t="n"/>
      <c r="R173" s="23" t="n"/>
    </row>
    <row r="174">
      <c r="A174" s="23" t="n"/>
      <c r="B174" s="23" t="n"/>
      <c r="C174" s="24" t="n"/>
      <c r="D174" s="24" t="n"/>
      <c r="E174" s="23" t="n"/>
      <c r="F174" s="23" t="n"/>
      <c r="G174" s="23" t="n"/>
      <c r="H174" s="23" t="n"/>
      <c r="I174" s="25" t="n"/>
      <c r="J174" s="26" t="n"/>
      <c r="K174" s="27">
        <f>IF(N(I174)=0,"",ROUND(I174*J174,2))</f>
        <v/>
      </c>
      <c r="L174" s="27">
        <f>IF(N(I174)=0,"",IF(P174="SI",I174,I174+N(K174)))</f>
        <v/>
      </c>
      <c r="M174" s="23" t="n"/>
      <c r="N174" s="26" t="n"/>
      <c r="O174" s="27">
        <f>IF(N(I174)=0,"",ROUND(N(K174)*N(N174),2))</f>
        <v/>
      </c>
      <c r="P174" s="23" t="n"/>
      <c r="Q174" s="23" t="n"/>
      <c r="R174" s="23" t="n"/>
    </row>
    <row r="175">
      <c r="A175" s="23" t="n"/>
      <c r="B175" s="23" t="n"/>
      <c r="C175" s="24" t="n"/>
      <c r="D175" s="24" t="n"/>
      <c r="E175" s="23" t="n"/>
      <c r="F175" s="23" t="n"/>
      <c r="G175" s="23" t="n"/>
      <c r="H175" s="23" t="n"/>
      <c r="I175" s="25" t="n"/>
      <c r="J175" s="26" t="n"/>
      <c r="K175" s="27">
        <f>IF(N(I175)=0,"",ROUND(I175*J175,2))</f>
        <v/>
      </c>
      <c r="L175" s="27">
        <f>IF(N(I175)=0,"",IF(P175="SI",I175,I175+N(K175)))</f>
        <v/>
      </c>
      <c r="M175" s="23" t="n"/>
      <c r="N175" s="26" t="n"/>
      <c r="O175" s="27">
        <f>IF(N(I175)=0,"",ROUND(N(K175)*N(N175),2))</f>
        <v/>
      </c>
      <c r="P175" s="23" t="n"/>
      <c r="Q175" s="23" t="n"/>
      <c r="R175" s="23" t="n"/>
    </row>
    <row r="176">
      <c r="A176" s="23" t="n"/>
      <c r="B176" s="23" t="n"/>
      <c r="C176" s="24" t="n"/>
      <c r="D176" s="24" t="n"/>
      <c r="E176" s="23" t="n"/>
      <c r="F176" s="23" t="n"/>
      <c r="G176" s="23" t="n"/>
      <c r="H176" s="23" t="n"/>
      <c r="I176" s="25" t="n"/>
      <c r="J176" s="26" t="n"/>
      <c r="K176" s="27">
        <f>IF(N(I176)=0,"",ROUND(I176*J176,2))</f>
        <v/>
      </c>
      <c r="L176" s="27">
        <f>IF(N(I176)=0,"",IF(P176="SI",I176,I176+N(K176)))</f>
        <v/>
      </c>
      <c r="M176" s="23" t="n"/>
      <c r="N176" s="26" t="n"/>
      <c r="O176" s="27">
        <f>IF(N(I176)=0,"",ROUND(N(K176)*N(N176),2))</f>
        <v/>
      </c>
      <c r="P176" s="23" t="n"/>
      <c r="Q176" s="23" t="n"/>
      <c r="R176" s="23" t="n"/>
    </row>
    <row r="177">
      <c r="A177" s="23" t="n"/>
      <c r="B177" s="23" t="n"/>
      <c r="C177" s="24" t="n"/>
      <c r="D177" s="24" t="n"/>
      <c r="E177" s="23" t="n"/>
      <c r="F177" s="23" t="n"/>
      <c r="G177" s="23" t="n"/>
      <c r="H177" s="23" t="n"/>
      <c r="I177" s="25" t="n"/>
      <c r="J177" s="26" t="n"/>
      <c r="K177" s="27">
        <f>IF(N(I177)=0,"",ROUND(I177*J177,2))</f>
        <v/>
      </c>
      <c r="L177" s="27">
        <f>IF(N(I177)=0,"",IF(P177="SI",I177,I177+N(K177)))</f>
        <v/>
      </c>
      <c r="M177" s="23" t="n"/>
      <c r="N177" s="26" t="n"/>
      <c r="O177" s="27">
        <f>IF(N(I177)=0,"",ROUND(N(K177)*N(N177),2))</f>
        <v/>
      </c>
      <c r="P177" s="23" t="n"/>
      <c r="Q177" s="23" t="n"/>
      <c r="R177" s="23" t="n"/>
    </row>
    <row r="178">
      <c r="A178" s="23" t="n"/>
      <c r="B178" s="23" t="n"/>
      <c r="C178" s="24" t="n"/>
      <c r="D178" s="24" t="n"/>
      <c r="E178" s="23" t="n"/>
      <c r="F178" s="23" t="n"/>
      <c r="G178" s="23" t="n"/>
      <c r="H178" s="23" t="n"/>
      <c r="I178" s="25" t="n"/>
      <c r="J178" s="26" t="n"/>
      <c r="K178" s="27">
        <f>IF(N(I178)=0,"",ROUND(I178*J178,2))</f>
        <v/>
      </c>
      <c r="L178" s="27">
        <f>IF(N(I178)=0,"",IF(P178="SI",I178,I178+N(K178)))</f>
        <v/>
      </c>
      <c r="M178" s="23" t="n"/>
      <c r="N178" s="26" t="n"/>
      <c r="O178" s="27">
        <f>IF(N(I178)=0,"",ROUND(N(K178)*N(N178),2))</f>
        <v/>
      </c>
      <c r="P178" s="23" t="n"/>
      <c r="Q178" s="23" t="n"/>
      <c r="R178" s="23" t="n"/>
    </row>
    <row r="179">
      <c r="A179" s="23" t="n"/>
      <c r="B179" s="23" t="n"/>
      <c r="C179" s="24" t="n"/>
      <c r="D179" s="24" t="n"/>
      <c r="E179" s="23" t="n"/>
      <c r="F179" s="23" t="n"/>
      <c r="G179" s="23" t="n"/>
      <c r="H179" s="23" t="n"/>
      <c r="I179" s="25" t="n"/>
      <c r="J179" s="26" t="n"/>
      <c r="K179" s="27">
        <f>IF(N(I179)=0,"",ROUND(I179*J179,2))</f>
        <v/>
      </c>
      <c r="L179" s="27">
        <f>IF(N(I179)=0,"",IF(P179="SI",I179,I179+N(K179)))</f>
        <v/>
      </c>
      <c r="M179" s="23" t="n"/>
      <c r="N179" s="26" t="n"/>
      <c r="O179" s="27">
        <f>IF(N(I179)=0,"",ROUND(N(K179)*N(N179),2))</f>
        <v/>
      </c>
      <c r="P179" s="23" t="n"/>
      <c r="Q179" s="23" t="n"/>
      <c r="R179" s="23" t="n"/>
    </row>
    <row r="180">
      <c r="A180" s="23" t="n"/>
      <c r="B180" s="23" t="n"/>
      <c r="C180" s="24" t="n"/>
      <c r="D180" s="24" t="n"/>
      <c r="E180" s="23" t="n"/>
      <c r="F180" s="23" t="n"/>
      <c r="G180" s="23" t="n"/>
      <c r="H180" s="23" t="n"/>
      <c r="I180" s="25" t="n"/>
      <c r="J180" s="26" t="n"/>
      <c r="K180" s="27">
        <f>IF(N(I180)=0,"",ROUND(I180*J180,2))</f>
        <v/>
      </c>
      <c r="L180" s="27">
        <f>IF(N(I180)=0,"",IF(P180="SI",I180,I180+N(K180)))</f>
        <v/>
      </c>
      <c r="M180" s="23" t="n"/>
      <c r="N180" s="26" t="n"/>
      <c r="O180" s="27">
        <f>IF(N(I180)=0,"",ROUND(N(K180)*N(N180),2))</f>
        <v/>
      </c>
      <c r="P180" s="23" t="n"/>
      <c r="Q180" s="23" t="n"/>
      <c r="R180" s="23" t="n"/>
    </row>
    <row r="181">
      <c r="A181" s="23" t="n"/>
      <c r="B181" s="23" t="n"/>
      <c r="C181" s="24" t="n"/>
      <c r="D181" s="24" t="n"/>
      <c r="E181" s="23" t="n"/>
      <c r="F181" s="23" t="n"/>
      <c r="G181" s="23" t="n"/>
      <c r="H181" s="23" t="n"/>
      <c r="I181" s="25" t="n"/>
      <c r="J181" s="26" t="n"/>
      <c r="K181" s="27">
        <f>IF(N(I181)=0,"",ROUND(I181*J181,2))</f>
        <v/>
      </c>
      <c r="L181" s="27">
        <f>IF(N(I181)=0,"",IF(P181="SI",I181,I181+N(K181)))</f>
        <v/>
      </c>
      <c r="M181" s="23" t="n"/>
      <c r="N181" s="26" t="n"/>
      <c r="O181" s="27">
        <f>IF(N(I181)=0,"",ROUND(N(K181)*N(N181),2))</f>
        <v/>
      </c>
      <c r="P181" s="23" t="n"/>
      <c r="Q181" s="23" t="n"/>
      <c r="R181" s="23" t="n"/>
    </row>
    <row r="182">
      <c r="A182" s="23" t="n"/>
      <c r="B182" s="23" t="n"/>
      <c r="C182" s="24" t="n"/>
      <c r="D182" s="24" t="n"/>
      <c r="E182" s="23" t="n"/>
      <c r="F182" s="23" t="n"/>
      <c r="G182" s="23" t="n"/>
      <c r="H182" s="23" t="n"/>
      <c r="I182" s="25" t="n"/>
      <c r="J182" s="26" t="n"/>
      <c r="K182" s="27">
        <f>IF(N(I182)=0,"",ROUND(I182*J182,2))</f>
        <v/>
      </c>
      <c r="L182" s="27">
        <f>IF(N(I182)=0,"",IF(P182="SI",I182,I182+N(K182)))</f>
        <v/>
      </c>
      <c r="M182" s="23" t="n"/>
      <c r="N182" s="26" t="n"/>
      <c r="O182" s="27">
        <f>IF(N(I182)=0,"",ROUND(N(K182)*N(N182),2))</f>
        <v/>
      </c>
      <c r="P182" s="23" t="n"/>
      <c r="Q182" s="23" t="n"/>
      <c r="R182" s="23" t="n"/>
    </row>
    <row r="183">
      <c r="A183" s="23" t="n"/>
      <c r="B183" s="23" t="n"/>
      <c r="C183" s="24" t="n"/>
      <c r="D183" s="24" t="n"/>
      <c r="E183" s="23" t="n"/>
      <c r="F183" s="23" t="n"/>
      <c r="G183" s="23" t="n"/>
      <c r="H183" s="23" t="n"/>
      <c r="I183" s="25" t="n"/>
      <c r="J183" s="26" t="n"/>
      <c r="K183" s="27">
        <f>IF(N(I183)=0,"",ROUND(I183*J183,2))</f>
        <v/>
      </c>
      <c r="L183" s="27">
        <f>IF(N(I183)=0,"",IF(P183="SI",I183,I183+N(K183)))</f>
        <v/>
      </c>
      <c r="M183" s="23" t="n"/>
      <c r="N183" s="26" t="n"/>
      <c r="O183" s="27">
        <f>IF(N(I183)=0,"",ROUND(N(K183)*N(N183),2))</f>
        <v/>
      </c>
      <c r="P183" s="23" t="n"/>
      <c r="Q183" s="23" t="n"/>
      <c r="R183" s="23" t="n"/>
    </row>
    <row r="184">
      <c r="A184" s="23" t="n"/>
      <c r="B184" s="23" t="n"/>
      <c r="C184" s="24" t="n"/>
      <c r="D184" s="24" t="n"/>
      <c r="E184" s="23" t="n"/>
      <c r="F184" s="23" t="n"/>
      <c r="G184" s="23" t="n"/>
      <c r="H184" s="23" t="n"/>
      <c r="I184" s="25" t="n"/>
      <c r="J184" s="26" t="n"/>
      <c r="K184" s="27">
        <f>IF(N(I184)=0,"",ROUND(I184*J184,2))</f>
        <v/>
      </c>
      <c r="L184" s="27">
        <f>IF(N(I184)=0,"",IF(P184="SI",I184,I184+N(K184)))</f>
        <v/>
      </c>
      <c r="M184" s="23" t="n"/>
      <c r="N184" s="26" t="n"/>
      <c r="O184" s="27">
        <f>IF(N(I184)=0,"",ROUND(N(K184)*N(N184),2))</f>
        <v/>
      </c>
      <c r="P184" s="23" t="n"/>
      <c r="Q184" s="23" t="n"/>
      <c r="R184" s="23" t="n"/>
    </row>
    <row r="185">
      <c r="A185" s="23" t="n"/>
      <c r="B185" s="23" t="n"/>
      <c r="C185" s="24" t="n"/>
      <c r="D185" s="24" t="n"/>
      <c r="E185" s="23" t="n"/>
      <c r="F185" s="23" t="n"/>
      <c r="G185" s="23" t="n"/>
      <c r="H185" s="23" t="n"/>
      <c r="I185" s="25" t="n"/>
      <c r="J185" s="26" t="n"/>
      <c r="K185" s="27">
        <f>IF(N(I185)=0,"",ROUND(I185*J185,2))</f>
        <v/>
      </c>
      <c r="L185" s="27">
        <f>IF(N(I185)=0,"",IF(P185="SI",I185,I185+N(K185)))</f>
        <v/>
      </c>
      <c r="M185" s="23" t="n"/>
      <c r="N185" s="26" t="n"/>
      <c r="O185" s="27">
        <f>IF(N(I185)=0,"",ROUND(N(K185)*N(N185),2))</f>
        <v/>
      </c>
      <c r="P185" s="23" t="n"/>
      <c r="Q185" s="23" t="n"/>
      <c r="R185" s="23" t="n"/>
    </row>
    <row r="186">
      <c r="A186" s="23" t="n"/>
      <c r="B186" s="23" t="n"/>
      <c r="C186" s="24" t="n"/>
      <c r="D186" s="24" t="n"/>
      <c r="E186" s="23" t="n"/>
      <c r="F186" s="23" t="n"/>
      <c r="G186" s="23" t="n"/>
      <c r="H186" s="23" t="n"/>
      <c r="I186" s="25" t="n"/>
      <c r="J186" s="26" t="n"/>
      <c r="K186" s="27">
        <f>IF(N(I186)=0,"",ROUND(I186*J186,2))</f>
        <v/>
      </c>
      <c r="L186" s="27">
        <f>IF(N(I186)=0,"",IF(P186="SI",I186,I186+N(K186)))</f>
        <v/>
      </c>
      <c r="M186" s="23" t="n"/>
      <c r="N186" s="26" t="n"/>
      <c r="O186" s="27">
        <f>IF(N(I186)=0,"",ROUND(N(K186)*N(N186),2))</f>
        <v/>
      </c>
      <c r="P186" s="23" t="n"/>
      <c r="Q186" s="23" t="n"/>
      <c r="R186" s="23" t="n"/>
    </row>
    <row r="187">
      <c r="A187" s="23" t="n"/>
      <c r="B187" s="23" t="n"/>
      <c r="C187" s="24" t="n"/>
      <c r="D187" s="24" t="n"/>
      <c r="E187" s="23" t="n"/>
      <c r="F187" s="23" t="n"/>
      <c r="G187" s="23" t="n"/>
      <c r="H187" s="23" t="n"/>
      <c r="I187" s="25" t="n"/>
      <c r="J187" s="26" t="n"/>
      <c r="K187" s="27">
        <f>IF(N(I187)=0,"",ROUND(I187*J187,2))</f>
        <v/>
      </c>
      <c r="L187" s="27">
        <f>IF(N(I187)=0,"",IF(P187="SI",I187,I187+N(K187)))</f>
        <v/>
      </c>
      <c r="M187" s="23" t="n"/>
      <c r="N187" s="26" t="n"/>
      <c r="O187" s="27">
        <f>IF(N(I187)=0,"",ROUND(N(K187)*N(N187),2))</f>
        <v/>
      </c>
      <c r="P187" s="23" t="n"/>
      <c r="Q187" s="23" t="n"/>
      <c r="R187" s="23" t="n"/>
    </row>
    <row r="188">
      <c r="A188" s="23" t="n"/>
      <c r="B188" s="23" t="n"/>
      <c r="C188" s="24" t="n"/>
      <c r="D188" s="24" t="n"/>
      <c r="E188" s="23" t="n"/>
      <c r="F188" s="23" t="n"/>
      <c r="G188" s="23" t="n"/>
      <c r="H188" s="23" t="n"/>
      <c r="I188" s="25" t="n"/>
      <c r="J188" s="26" t="n"/>
      <c r="K188" s="27">
        <f>IF(N(I188)=0,"",ROUND(I188*J188,2))</f>
        <v/>
      </c>
      <c r="L188" s="27">
        <f>IF(N(I188)=0,"",IF(P188="SI",I188,I188+N(K188)))</f>
        <v/>
      </c>
      <c r="M188" s="23" t="n"/>
      <c r="N188" s="26" t="n"/>
      <c r="O188" s="27">
        <f>IF(N(I188)=0,"",ROUND(N(K188)*N(N188),2))</f>
        <v/>
      </c>
      <c r="P188" s="23" t="n"/>
      <c r="Q188" s="23" t="n"/>
      <c r="R188" s="23" t="n"/>
    </row>
    <row r="189">
      <c r="A189" s="23" t="n"/>
      <c r="B189" s="23" t="n"/>
      <c r="C189" s="24" t="n"/>
      <c r="D189" s="24" t="n"/>
      <c r="E189" s="23" t="n"/>
      <c r="F189" s="23" t="n"/>
      <c r="G189" s="23" t="n"/>
      <c r="H189" s="23" t="n"/>
      <c r="I189" s="25" t="n"/>
      <c r="J189" s="26" t="n"/>
      <c r="K189" s="27">
        <f>IF(N(I189)=0,"",ROUND(I189*J189,2))</f>
        <v/>
      </c>
      <c r="L189" s="27">
        <f>IF(N(I189)=0,"",IF(P189="SI",I189,I189+N(K189)))</f>
        <v/>
      </c>
      <c r="M189" s="23" t="n"/>
      <c r="N189" s="26" t="n"/>
      <c r="O189" s="27">
        <f>IF(N(I189)=0,"",ROUND(N(K189)*N(N189),2))</f>
        <v/>
      </c>
      <c r="P189" s="23" t="n"/>
      <c r="Q189" s="23" t="n"/>
      <c r="R189" s="23" t="n"/>
    </row>
    <row r="190">
      <c r="A190" s="23" t="n"/>
      <c r="B190" s="23" t="n"/>
      <c r="C190" s="24" t="n"/>
      <c r="D190" s="24" t="n"/>
      <c r="E190" s="23" t="n"/>
      <c r="F190" s="23" t="n"/>
      <c r="G190" s="23" t="n"/>
      <c r="H190" s="23" t="n"/>
      <c r="I190" s="25" t="n"/>
      <c r="J190" s="26" t="n"/>
      <c r="K190" s="27">
        <f>IF(N(I190)=0,"",ROUND(I190*J190,2))</f>
        <v/>
      </c>
      <c r="L190" s="27">
        <f>IF(N(I190)=0,"",IF(P190="SI",I190,I190+N(K190)))</f>
        <v/>
      </c>
      <c r="M190" s="23" t="n"/>
      <c r="N190" s="26" t="n"/>
      <c r="O190" s="27">
        <f>IF(N(I190)=0,"",ROUND(N(K190)*N(N190),2))</f>
        <v/>
      </c>
      <c r="P190" s="23" t="n"/>
      <c r="Q190" s="23" t="n"/>
      <c r="R190" s="23" t="n"/>
    </row>
    <row r="191">
      <c r="A191" s="23" t="n"/>
      <c r="B191" s="23" t="n"/>
      <c r="C191" s="24" t="n"/>
      <c r="D191" s="24" t="n"/>
      <c r="E191" s="23" t="n"/>
      <c r="F191" s="23" t="n"/>
      <c r="G191" s="23" t="n"/>
      <c r="H191" s="23" t="n"/>
      <c r="I191" s="25" t="n"/>
      <c r="J191" s="26" t="n"/>
      <c r="K191" s="27">
        <f>IF(N(I191)=0,"",ROUND(I191*J191,2))</f>
        <v/>
      </c>
      <c r="L191" s="27">
        <f>IF(N(I191)=0,"",IF(P191="SI",I191,I191+N(K191)))</f>
        <v/>
      </c>
      <c r="M191" s="23" t="n"/>
      <c r="N191" s="26" t="n"/>
      <c r="O191" s="27">
        <f>IF(N(I191)=0,"",ROUND(N(K191)*N(N191),2))</f>
        <v/>
      </c>
      <c r="P191" s="23" t="n"/>
      <c r="Q191" s="23" t="n"/>
      <c r="R191" s="23" t="n"/>
    </row>
    <row r="192">
      <c r="A192" s="23" t="n"/>
      <c r="B192" s="23" t="n"/>
      <c r="C192" s="24" t="n"/>
      <c r="D192" s="24" t="n"/>
      <c r="E192" s="23" t="n"/>
      <c r="F192" s="23" t="n"/>
      <c r="G192" s="23" t="n"/>
      <c r="H192" s="23" t="n"/>
      <c r="I192" s="25" t="n"/>
      <c r="J192" s="26" t="n"/>
      <c r="K192" s="27">
        <f>IF(N(I192)=0,"",ROUND(I192*J192,2))</f>
        <v/>
      </c>
      <c r="L192" s="27">
        <f>IF(N(I192)=0,"",IF(P192="SI",I192,I192+N(K192)))</f>
        <v/>
      </c>
      <c r="M192" s="23" t="n"/>
      <c r="N192" s="26" t="n"/>
      <c r="O192" s="27">
        <f>IF(N(I192)=0,"",ROUND(N(K192)*N(N192),2))</f>
        <v/>
      </c>
      <c r="P192" s="23" t="n"/>
      <c r="Q192" s="23" t="n"/>
      <c r="R192" s="23" t="n"/>
    </row>
    <row r="193">
      <c r="A193" s="23" t="n"/>
      <c r="B193" s="23" t="n"/>
      <c r="C193" s="24" t="n"/>
      <c r="D193" s="24" t="n"/>
      <c r="E193" s="23" t="n"/>
      <c r="F193" s="23" t="n"/>
      <c r="G193" s="23" t="n"/>
      <c r="H193" s="23" t="n"/>
      <c r="I193" s="25" t="n"/>
      <c r="J193" s="26" t="n"/>
      <c r="K193" s="27">
        <f>IF(N(I193)=0,"",ROUND(I193*J193,2))</f>
        <v/>
      </c>
      <c r="L193" s="27">
        <f>IF(N(I193)=0,"",IF(P193="SI",I193,I193+N(K193)))</f>
        <v/>
      </c>
      <c r="M193" s="23" t="n"/>
      <c r="N193" s="26" t="n"/>
      <c r="O193" s="27">
        <f>IF(N(I193)=0,"",ROUND(N(K193)*N(N193),2))</f>
        <v/>
      </c>
      <c r="P193" s="23" t="n"/>
      <c r="Q193" s="23" t="n"/>
      <c r="R193" s="23" t="n"/>
    </row>
    <row r="194">
      <c r="A194" s="23" t="n"/>
      <c r="B194" s="23" t="n"/>
      <c r="C194" s="24" t="n"/>
      <c r="D194" s="24" t="n"/>
      <c r="E194" s="23" t="n"/>
      <c r="F194" s="23" t="n"/>
      <c r="G194" s="23" t="n"/>
      <c r="H194" s="23" t="n"/>
      <c r="I194" s="25" t="n"/>
      <c r="J194" s="26" t="n"/>
      <c r="K194" s="27">
        <f>IF(N(I194)=0,"",ROUND(I194*J194,2))</f>
        <v/>
      </c>
      <c r="L194" s="27">
        <f>IF(N(I194)=0,"",IF(P194="SI",I194,I194+N(K194)))</f>
        <v/>
      </c>
      <c r="M194" s="23" t="n"/>
      <c r="N194" s="26" t="n"/>
      <c r="O194" s="27">
        <f>IF(N(I194)=0,"",ROUND(N(K194)*N(N194),2))</f>
        <v/>
      </c>
      <c r="P194" s="23" t="n"/>
      <c r="Q194" s="23" t="n"/>
      <c r="R194" s="23" t="n"/>
    </row>
    <row r="195">
      <c r="A195" s="23" t="n"/>
      <c r="B195" s="23" t="n"/>
      <c r="C195" s="24" t="n"/>
      <c r="D195" s="24" t="n"/>
      <c r="E195" s="23" t="n"/>
      <c r="F195" s="23" t="n"/>
      <c r="G195" s="23" t="n"/>
      <c r="H195" s="23" t="n"/>
      <c r="I195" s="25" t="n"/>
      <c r="J195" s="26" t="n"/>
      <c r="K195" s="27">
        <f>IF(N(I195)=0,"",ROUND(I195*J195,2))</f>
        <v/>
      </c>
      <c r="L195" s="27">
        <f>IF(N(I195)=0,"",IF(P195="SI",I195,I195+N(K195)))</f>
        <v/>
      </c>
      <c r="M195" s="23" t="n"/>
      <c r="N195" s="26" t="n"/>
      <c r="O195" s="27">
        <f>IF(N(I195)=0,"",ROUND(N(K195)*N(N195),2))</f>
        <v/>
      </c>
      <c r="P195" s="23" t="n"/>
      <c r="Q195" s="23" t="n"/>
      <c r="R195" s="23" t="n"/>
    </row>
    <row r="196">
      <c r="A196" s="23" t="n"/>
      <c r="B196" s="23" t="n"/>
      <c r="C196" s="24" t="n"/>
      <c r="D196" s="24" t="n"/>
      <c r="E196" s="23" t="n"/>
      <c r="F196" s="23" t="n"/>
      <c r="G196" s="23" t="n"/>
      <c r="H196" s="23" t="n"/>
      <c r="I196" s="25" t="n"/>
      <c r="J196" s="26" t="n"/>
      <c r="K196" s="27">
        <f>IF(N(I196)=0,"",ROUND(I196*J196,2))</f>
        <v/>
      </c>
      <c r="L196" s="27">
        <f>IF(N(I196)=0,"",IF(P196="SI",I196,I196+N(K196)))</f>
        <v/>
      </c>
      <c r="M196" s="23" t="n"/>
      <c r="N196" s="26" t="n"/>
      <c r="O196" s="27">
        <f>IF(N(I196)=0,"",ROUND(N(K196)*N(N196),2))</f>
        <v/>
      </c>
      <c r="P196" s="23" t="n"/>
      <c r="Q196" s="23" t="n"/>
      <c r="R196" s="23" t="n"/>
    </row>
    <row r="197">
      <c r="A197" s="23" t="n"/>
      <c r="B197" s="23" t="n"/>
      <c r="C197" s="24" t="n"/>
      <c r="D197" s="24" t="n"/>
      <c r="E197" s="23" t="n"/>
      <c r="F197" s="23" t="n"/>
      <c r="G197" s="23" t="n"/>
      <c r="H197" s="23" t="n"/>
      <c r="I197" s="25" t="n"/>
      <c r="J197" s="26" t="n"/>
      <c r="K197" s="27">
        <f>IF(N(I197)=0,"",ROUND(I197*J197,2))</f>
        <v/>
      </c>
      <c r="L197" s="27">
        <f>IF(N(I197)=0,"",IF(P197="SI",I197,I197+N(K197)))</f>
        <v/>
      </c>
      <c r="M197" s="23" t="n"/>
      <c r="N197" s="26" t="n"/>
      <c r="O197" s="27">
        <f>IF(N(I197)=0,"",ROUND(N(K197)*N(N197),2))</f>
        <v/>
      </c>
      <c r="P197" s="23" t="n"/>
      <c r="Q197" s="23" t="n"/>
      <c r="R197" s="23" t="n"/>
    </row>
    <row r="198">
      <c r="A198" s="23" t="n"/>
      <c r="B198" s="23" t="n"/>
      <c r="C198" s="24" t="n"/>
      <c r="D198" s="24" t="n"/>
      <c r="E198" s="23" t="n"/>
      <c r="F198" s="23" t="n"/>
      <c r="G198" s="23" t="n"/>
      <c r="H198" s="23" t="n"/>
      <c r="I198" s="25" t="n"/>
      <c r="J198" s="26" t="n"/>
      <c r="K198" s="27">
        <f>IF(N(I198)=0,"",ROUND(I198*J198,2))</f>
        <v/>
      </c>
      <c r="L198" s="27">
        <f>IF(N(I198)=0,"",IF(P198="SI",I198,I198+N(K198)))</f>
        <v/>
      </c>
      <c r="M198" s="23" t="n"/>
      <c r="N198" s="26" t="n"/>
      <c r="O198" s="27">
        <f>IF(N(I198)=0,"",ROUND(N(K198)*N(N198),2))</f>
        <v/>
      </c>
      <c r="P198" s="23" t="n"/>
      <c r="Q198" s="23" t="n"/>
      <c r="R198" s="23" t="n"/>
    </row>
    <row r="199">
      <c r="A199" s="23" t="n"/>
      <c r="B199" s="23" t="n"/>
      <c r="C199" s="24" t="n"/>
      <c r="D199" s="24" t="n"/>
      <c r="E199" s="23" t="n"/>
      <c r="F199" s="23" t="n"/>
      <c r="G199" s="23" t="n"/>
      <c r="H199" s="23" t="n"/>
      <c r="I199" s="25" t="n"/>
      <c r="J199" s="26" t="n"/>
      <c r="K199" s="27">
        <f>IF(N(I199)=0,"",ROUND(I199*J199,2))</f>
        <v/>
      </c>
      <c r="L199" s="27">
        <f>IF(N(I199)=0,"",IF(P199="SI",I199,I199+N(K199)))</f>
        <v/>
      </c>
      <c r="M199" s="23" t="n"/>
      <c r="N199" s="26" t="n"/>
      <c r="O199" s="27">
        <f>IF(N(I199)=0,"",ROUND(N(K199)*N(N199),2))</f>
        <v/>
      </c>
      <c r="P199" s="23" t="n"/>
      <c r="Q199" s="23" t="n"/>
      <c r="R199" s="23" t="n"/>
    </row>
    <row r="200">
      <c r="A200" s="23" t="n"/>
      <c r="B200" s="23" t="n"/>
      <c r="C200" s="24" t="n"/>
      <c r="D200" s="24" t="n"/>
      <c r="E200" s="23" t="n"/>
      <c r="F200" s="23" t="n"/>
      <c r="G200" s="23" t="n"/>
      <c r="H200" s="23" t="n"/>
      <c r="I200" s="25" t="n"/>
      <c r="J200" s="26" t="n"/>
      <c r="K200" s="27">
        <f>IF(N(I200)=0,"",ROUND(I200*J200,2))</f>
        <v/>
      </c>
      <c r="L200" s="27">
        <f>IF(N(I200)=0,"",IF(P200="SI",I200,I200+N(K200)))</f>
        <v/>
      </c>
      <c r="M200" s="23" t="n"/>
      <c r="N200" s="26" t="n"/>
      <c r="O200" s="27">
        <f>IF(N(I200)=0,"",ROUND(N(K200)*N(N200),2))</f>
        <v/>
      </c>
      <c r="P200" s="23" t="n"/>
      <c r="Q200" s="23" t="n"/>
      <c r="R200" s="23" t="n"/>
    </row>
    <row r="201">
      <c r="A201" s="23" t="n"/>
      <c r="B201" s="23" t="n"/>
      <c r="C201" s="24" t="n"/>
      <c r="D201" s="24" t="n"/>
      <c r="E201" s="23" t="n"/>
      <c r="F201" s="23" t="n"/>
      <c r="G201" s="23" t="n"/>
      <c r="H201" s="23" t="n"/>
      <c r="I201" s="25" t="n"/>
      <c r="J201" s="26" t="n"/>
      <c r="K201" s="27">
        <f>IF(N(I201)=0,"",ROUND(I201*J201,2))</f>
        <v/>
      </c>
      <c r="L201" s="27">
        <f>IF(N(I201)=0,"",IF(P201="SI",I201,I201+N(K201)))</f>
        <v/>
      </c>
      <c r="M201" s="23" t="n"/>
      <c r="N201" s="26" t="n"/>
      <c r="O201" s="27">
        <f>IF(N(I201)=0,"",ROUND(N(K201)*N(N201),2))</f>
        <v/>
      </c>
      <c r="P201" s="23" t="n"/>
      <c r="Q201" s="23" t="n"/>
      <c r="R201" s="23" t="n"/>
    </row>
    <row r="202">
      <c r="A202" s="23" t="n"/>
      <c r="B202" s="23" t="n"/>
      <c r="C202" s="24" t="n"/>
      <c r="D202" s="24" t="n"/>
      <c r="E202" s="23" t="n"/>
      <c r="F202" s="23" t="n"/>
      <c r="G202" s="23" t="n"/>
      <c r="H202" s="23" t="n"/>
      <c r="I202" s="25" t="n"/>
      <c r="J202" s="26" t="n"/>
      <c r="K202" s="27">
        <f>IF(N(I202)=0,"",ROUND(I202*J202,2))</f>
        <v/>
      </c>
      <c r="L202" s="27">
        <f>IF(N(I202)=0,"",IF(P202="SI",I202,I202+N(K202)))</f>
        <v/>
      </c>
      <c r="M202" s="23" t="n"/>
      <c r="N202" s="26" t="n"/>
      <c r="O202" s="27">
        <f>IF(N(I202)=0,"",ROUND(N(K202)*N(N202),2))</f>
        <v/>
      </c>
      <c r="P202" s="23" t="n"/>
      <c r="Q202" s="23" t="n"/>
      <c r="R202" s="23" t="n"/>
    </row>
    <row r="203">
      <c r="A203" s="23" t="n"/>
      <c r="B203" s="23" t="n"/>
      <c r="C203" s="24" t="n"/>
      <c r="D203" s="24" t="n"/>
      <c r="E203" s="23" t="n"/>
      <c r="F203" s="23" t="n"/>
      <c r="G203" s="23" t="n"/>
      <c r="H203" s="23" t="n"/>
      <c r="I203" s="25" t="n"/>
      <c r="J203" s="26" t="n"/>
      <c r="K203" s="27">
        <f>IF(N(I203)=0,"",ROUND(I203*J203,2))</f>
        <v/>
      </c>
      <c r="L203" s="27">
        <f>IF(N(I203)=0,"",IF(P203="SI",I203,I203+N(K203)))</f>
        <v/>
      </c>
      <c r="M203" s="23" t="n"/>
      <c r="N203" s="26" t="n"/>
      <c r="O203" s="27">
        <f>IF(N(I203)=0,"",ROUND(N(K203)*N(N203),2))</f>
        <v/>
      </c>
      <c r="P203" s="23" t="n"/>
      <c r="Q203" s="23" t="n"/>
      <c r="R203" s="23" t="n"/>
    </row>
    <row r="204">
      <c r="A204" s="23" t="n"/>
      <c r="B204" s="23" t="n"/>
      <c r="C204" s="24" t="n"/>
      <c r="D204" s="24" t="n"/>
      <c r="E204" s="23" t="n"/>
      <c r="F204" s="23" t="n"/>
      <c r="G204" s="23" t="n"/>
      <c r="H204" s="23" t="n"/>
      <c r="I204" s="25" t="n"/>
      <c r="J204" s="26" t="n"/>
      <c r="K204" s="27">
        <f>IF(N(I204)=0,"",ROUND(I204*J204,2))</f>
        <v/>
      </c>
      <c r="L204" s="27">
        <f>IF(N(I204)=0,"",IF(P204="SI",I204,I204+N(K204)))</f>
        <v/>
      </c>
      <c r="M204" s="23" t="n"/>
      <c r="N204" s="26" t="n"/>
      <c r="O204" s="27">
        <f>IF(N(I204)=0,"",ROUND(N(K204)*N(N204),2))</f>
        <v/>
      </c>
      <c r="P204" s="23" t="n"/>
      <c r="Q204" s="23" t="n"/>
      <c r="R204" s="23" t="n"/>
    </row>
    <row r="205">
      <c r="A205" s="23" t="n"/>
      <c r="B205" s="23" t="n"/>
      <c r="C205" s="24" t="n"/>
      <c r="D205" s="24" t="n"/>
      <c r="E205" s="23" t="n"/>
      <c r="F205" s="23" t="n"/>
      <c r="G205" s="23" t="n"/>
      <c r="H205" s="23" t="n"/>
      <c r="I205" s="25" t="n"/>
      <c r="J205" s="26" t="n"/>
      <c r="K205" s="27">
        <f>IF(N(I205)=0,"",ROUND(I205*J205,2))</f>
        <v/>
      </c>
      <c r="L205" s="27">
        <f>IF(N(I205)=0,"",IF(P205="SI",I205,I205+N(K205)))</f>
        <v/>
      </c>
      <c r="M205" s="23" t="n"/>
      <c r="N205" s="26" t="n"/>
      <c r="O205" s="27">
        <f>IF(N(I205)=0,"",ROUND(N(K205)*N(N205),2))</f>
        <v/>
      </c>
      <c r="P205" s="23" t="n"/>
      <c r="Q205" s="23" t="n"/>
      <c r="R205" s="23" t="n"/>
    </row>
    <row r="206">
      <c r="A206" s="23" t="n"/>
      <c r="B206" s="23" t="n"/>
      <c r="C206" s="24" t="n"/>
      <c r="D206" s="24" t="n"/>
      <c r="E206" s="23" t="n"/>
      <c r="F206" s="23" t="n"/>
      <c r="G206" s="23" t="n"/>
      <c r="H206" s="23" t="n"/>
      <c r="I206" s="25" t="n"/>
      <c r="J206" s="26" t="n"/>
      <c r="K206" s="27">
        <f>IF(N(I206)=0,"",ROUND(I206*J206,2))</f>
        <v/>
      </c>
      <c r="L206" s="27">
        <f>IF(N(I206)=0,"",IF(P206="SI",I206,I206+N(K206)))</f>
        <v/>
      </c>
      <c r="M206" s="23" t="n"/>
      <c r="N206" s="26" t="n"/>
      <c r="O206" s="27">
        <f>IF(N(I206)=0,"",ROUND(N(K206)*N(N206),2))</f>
        <v/>
      </c>
      <c r="P206" s="23" t="n"/>
      <c r="Q206" s="23" t="n"/>
      <c r="R206" s="23" t="n"/>
    </row>
    <row r="207">
      <c r="A207" s="23" t="n"/>
      <c r="B207" s="23" t="n"/>
      <c r="C207" s="24" t="n"/>
      <c r="D207" s="24" t="n"/>
      <c r="E207" s="23" t="n"/>
      <c r="F207" s="23" t="n"/>
      <c r="G207" s="23" t="n"/>
      <c r="H207" s="23" t="n"/>
      <c r="I207" s="25" t="n"/>
      <c r="J207" s="26" t="n"/>
      <c r="K207" s="27">
        <f>IF(N(I207)=0,"",ROUND(I207*J207,2))</f>
        <v/>
      </c>
      <c r="L207" s="27">
        <f>IF(N(I207)=0,"",IF(P207="SI",I207,I207+N(K207)))</f>
        <v/>
      </c>
      <c r="M207" s="23" t="n"/>
      <c r="N207" s="26" t="n"/>
      <c r="O207" s="27">
        <f>IF(N(I207)=0,"",ROUND(N(K207)*N(N207),2))</f>
        <v/>
      </c>
      <c r="P207" s="23" t="n"/>
      <c r="Q207" s="23" t="n"/>
      <c r="R207" s="23" t="n"/>
    </row>
    <row r="208">
      <c r="A208" s="23" t="n"/>
      <c r="B208" s="23" t="n"/>
      <c r="C208" s="24" t="n"/>
      <c r="D208" s="24" t="n"/>
      <c r="E208" s="23" t="n"/>
      <c r="F208" s="23" t="n"/>
      <c r="G208" s="23" t="n"/>
      <c r="H208" s="23" t="n"/>
      <c r="I208" s="25" t="n"/>
      <c r="J208" s="26" t="n"/>
      <c r="K208" s="27">
        <f>IF(N(I208)=0,"",ROUND(I208*J208,2))</f>
        <v/>
      </c>
      <c r="L208" s="27">
        <f>IF(N(I208)=0,"",IF(P208="SI",I208,I208+N(K208)))</f>
        <v/>
      </c>
      <c r="M208" s="23" t="n"/>
      <c r="N208" s="26" t="n"/>
      <c r="O208" s="27">
        <f>IF(N(I208)=0,"",ROUND(N(K208)*N(N208),2))</f>
        <v/>
      </c>
      <c r="P208" s="23" t="n"/>
      <c r="Q208" s="23" t="n"/>
      <c r="R208" s="23" t="n"/>
    </row>
    <row r="209">
      <c r="A209" s="23" t="n"/>
      <c r="B209" s="23" t="n"/>
      <c r="C209" s="24" t="n"/>
      <c r="D209" s="24" t="n"/>
      <c r="E209" s="23" t="n"/>
      <c r="F209" s="23" t="n"/>
      <c r="G209" s="23" t="n"/>
      <c r="H209" s="23" t="n"/>
      <c r="I209" s="25" t="n"/>
      <c r="J209" s="26" t="n"/>
      <c r="K209" s="27">
        <f>IF(N(I209)=0,"",ROUND(I209*J209,2))</f>
        <v/>
      </c>
      <c r="L209" s="27">
        <f>IF(N(I209)=0,"",IF(P209="SI",I209,I209+N(K209)))</f>
        <v/>
      </c>
      <c r="M209" s="23" t="n"/>
      <c r="N209" s="26" t="n"/>
      <c r="O209" s="27">
        <f>IF(N(I209)=0,"",ROUND(N(K209)*N(N209),2))</f>
        <v/>
      </c>
      <c r="P209" s="23" t="n"/>
      <c r="Q209" s="23" t="n"/>
      <c r="R209" s="23" t="n"/>
    </row>
    <row r="210">
      <c r="A210" s="23" t="n"/>
      <c r="B210" s="23" t="n"/>
      <c r="C210" s="24" t="n"/>
      <c r="D210" s="24" t="n"/>
      <c r="E210" s="23" t="n"/>
      <c r="F210" s="23" t="n"/>
      <c r="G210" s="23" t="n"/>
      <c r="H210" s="23" t="n"/>
      <c r="I210" s="25" t="n"/>
      <c r="J210" s="26" t="n"/>
      <c r="K210" s="27">
        <f>IF(N(I210)=0,"",ROUND(I210*J210,2))</f>
        <v/>
      </c>
      <c r="L210" s="27">
        <f>IF(N(I210)=0,"",IF(P210="SI",I210,I210+N(K210)))</f>
        <v/>
      </c>
      <c r="M210" s="23" t="n"/>
      <c r="N210" s="26" t="n"/>
      <c r="O210" s="27">
        <f>IF(N(I210)=0,"",ROUND(N(K210)*N(N210),2))</f>
        <v/>
      </c>
      <c r="P210" s="23" t="n"/>
      <c r="Q210" s="23" t="n"/>
      <c r="R210" s="23" t="n"/>
    </row>
    <row r="211">
      <c r="A211" s="23" t="n"/>
      <c r="B211" s="23" t="n"/>
      <c r="C211" s="24" t="n"/>
      <c r="D211" s="24" t="n"/>
      <c r="E211" s="23" t="n"/>
      <c r="F211" s="23" t="n"/>
      <c r="G211" s="23" t="n"/>
      <c r="H211" s="23" t="n"/>
      <c r="I211" s="25" t="n"/>
      <c r="J211" s="26" t="n"/>
      <c r="K211" s="27">
        <f>IF(N(I211)=0,"",ROUND(I211*J211,2))</f>
        <v/>
      </c>
      <c r="L211" s="27">
        <f>IF(N(I211)=0,"",IF(P211="SI",I211,I211+N(K211)))</f>
        <v/>
      </c>
      <c r="M211" s="23" t="n"/>
      <c r="N211" s="26" t="n"/>
      <c r="O211" s="27">
        <f>IF(N(I211)=0,"",ROUND(N(K211)*N(N211),2))</f>
        <v/>
      </c>
      <c r="P211" s="23" t="n"/>
      <c r="Q211" s="23" t="n"/>
      <c r="R211" s="23" t="n"/>
    </row>
    <row r="212">
      <c r="A212" s="23" t="n"/>
      <c r="B212" s="23" t="n"/>
      <c r="C212" s="24" t="n"/>
      <c r="D212" s="24" t="n"/>
      <c r="E212" s="23" t="n"/>
      <c r="F212" s="23" t="n"/>
      <c r="G212" s="23" t="n"/>
      <c r="H212" s="23" t="n"/>
      <c r="I212" s="25" t="n"/>
      <c r="J212" s="26" t="n"/>
      <c r="K212" s="27">
        <f>IF(N(I212)=0,"",ROUND(I212*J212,2))</f>
        <v/>
      </c>
      <c r="L212" s="27">
        <f>IF(N(I212)=0,"",IF(P212="SI",I212,I212+N(K212)))</f>
        <v/>
      </c>
      <c r="M212" s="23" t="n"/>
      <c r="N212" s="26" t="n"/>
      <c r="O212" s="27">
        <f>IF(N(I212)=0,"",ROUND(N(K212)*N(N212),2))</f>
        <v/>
      </c>
      <c r="P212" s="23" t="n"/>
      <c r="Q212" s="23" t="n"/>
      <c r="R212" s="23" t="n"/>
    </row>
    <row r="213">
      <c r="A213" s="23" t="n"/>
      <c r="B213" s="23" t="n"/>
      <c r="C213" s="24" t="n"/>
      <c r="D213" s="24" t="n"/>
      <c r="E213" s="23" t="n"/>
      <c r="F213" s="23" t="n"/>
      <c r="G213" s="23" t="n"/>
      <c r="H213" s="23" t="n"/>
      <c r="I213" s="25" t="n"/>
      <c r="J213" s="26" t="n"/>
      <c r="K213" s="27">
        <f>IF(N(I213)=0,"",ROUND(I213*J213,2))</f>
        <v/>
      </c>
      <c r="L213" s="27">
        <f>IF(N(I213)=0,"",IF(P213="SI",I213,I213+N(K213)))</f>
        <v/>
      </c>
      <c r="M213" s="23" t="n"/>
      <c r="N213" s="26" t="n"/>
      <c r="O213" s="27">
        <f>IF(N(I213)=0,"",ROUND(N(K213)*N(N213),2))</f>
        <v/>
      </c>
      <c r="P213" s="23" t="n"/>
      <c r="Q213" s="23" t="n"/>
      <c r="R213" s="23" t="n"/>
    </row>
    <row r="214">
      <c r="A214" s="23" t="n"/>
      <c r="B214" s="23" t="n"/>
      <c r="C214" s="24" t="n"/>
      <c r="D214" s="24" t="n"/>
      <c r="E214" s="23" t="n"/>
      <c r="F214" s="23" t="n"/>
      <c r="G214" s="23" t="n"/>
      <c r="H214" s="23" t="n"/>
      <c r="I214" s="25" t="n"/>
      <c r="J214" s="26" t="n"/>
      <c r="K214" s="27">
        <f>IF(N(I214)=0,"",ROUND(I214*J214,2))</f>
        <v/>
      </c>
      <c r="L214" s="27">
        <f>IF(N(I214)=0,"",IF(P214="SI",I214,I214+N(K214)))</f>
        <v/>
      </c>
      <c r="M214" s="23" t="n"/>
      <c r="N214" s="26" t="n"/>
      <c r="O214" s="27">
        <f>IF(N(I214)=0,"",ROUND(N(K214)*N(N214),2))</f>
        <v/>
      </c>
      <c r="P214" s="23" t="n"/>
      <c r="Q214" s="23" t="n"/>
      <c r="R214" s="23" t="n"/>
    </row>
    <row r="215">
      <c r="A215" s="23" t="n"/>
      <c r="B215" s="23" t="n"/>
      <c r="C215" s="24" t="n"/>
      <c r="D215" s="24" t="n"/>
      <c r="E215" s="23" t="n"/>
      <c r="F215" s="23" t="n"/>
      <c r="G215" s="23" t="n"/>
      <c r="H215" s="23" t="n"/>
      <c r="I215" s="25" t="n"/>
      <c r="J215" s="26" t="n"/>
      <c r="K215" s="27">
        <f>IF(N(I215)=0,"",ROUND(I215*J215,2))</f>
        <v/>
      </c>
      <c r="L215" s="27">
        <f>IF(N(I215)=0,"",IF(P215="SI",I215,I215+N(K215)))</f>
        <v/>
      </c>
      <c r="M215" s="23" t="n"/>
      <c r="N215" s="26" t="n"/>
      <c r="O215" s="27">
        <f>IF(N(I215)=0,"",ROUND(N(K215)*N(N215),2))</f>
        <v/>
      </c>
      <c r="P215" s="23" t="n"/>
      <c r="Q215" s="23" t="n"/>
      <c r="R215" s="23" t="n"/>
    </row>
    <row r="216">
      <c r="A216" s="23" t="n"/>
      <c r="B216" s="23" t="n"/>
      <c r="C216" s="24" t="n"/>
      <c r="D216" s="24" t="n"/>
      <c r="E216" s="23" t="n"/>
      <c r="F216" s="23" t="n"/>
      <c r="G216" s="23" t="n"/>
      <c r="H216" s="23" t="n"/>
      <c r="I216" s="25" t="n"/>
      <c r="J216" s="26" t="n"/>
      <c r="K216" s="27">
        <f>IF(N(I216)=0,"",ROUND(I216*J216,2))</f>
        <v/>
      </c>
      <c r="L216" s="27">
        <f>IF(N(I216)=0,"",IF(P216="SI",I216,I216+N(K216)))</f>
        <v/>
      </c>
      <c r="M216" s="23" t="n"/>
      <c r="N216" s="26" t="n"/>
      <c r="O216" s="27">
        <f>IF(N(I216)=0,"",ROUND(N(K216)*N(N216),2))</f>
        <v/>
      </c>
      <c r="P216" s="23" t="n"/>
      <c r="Q216" s="23" t="n"/>
      <c r="R216" s="23" t="n"/>
    </row>
    <row r="217">
      <c r="A217" s="23" t="n"/>
      <c r="B217" s="23" t="n"/>
      <c r="C217" s="24" t="n"/>
      <c r="D217" s="24" t="n"/>
      <c r="E217" s="23" t="n"/>
      <c r="F217" s="23" t="n"/>
      <c r="G217" s="23" t="n"/>
      <c r="H217" s="23" t="n"/>
      <c r="I217" s="25" t="n"/>
      <c r="J217" s="26" t="n"/>
      <c r="K217" s="27">
        <f>IF(N(I217)=0,"",ROUND(I217*J217,2))</f>
        <v/>
      </c>
      <c r="L217" s="27">
        <f>IF(N(I217)=0,"",IF(P217="SI",I217,I217+N(K217)))</f>
        <v/>
      </c>
      <c r="M217" s="23" t="n"/>
      <c r="N217" s="26" t="n"/>
      <c r="O217" s="27">
        <f>IF(N(I217)=0,"",ROUND(N(K217)*N(N217),2))</f>
        <v/>
      </c>
      <c r="P217" s="23" t="n"/>
      <c r="Q217" s="23" t="n"/>
      <c r="R217" s="23" t="n"/>
    </row>
    <row r="218">
      <c r="A218" s="23" t="n"/>
      <c r="B218" s="23" t="n"/>
      <c r="C218" s="24" t="n"/>
      <c r="D218" s="24" t="n"/>
      <c r="E218" s="23" t="n"/>
      <c r="F218" s="23" t="n"/>
      <c r="G218" s="23" t="n"/>
      <c r="H218" s="23" t="n"/>
      <c r="I218" s="25" t="n"/>
      <c r="J218" s="26" t="n"/>
      <c r="K218" s="27">
        <f>IF(N(I218)=0,"",ROUND(I218*J218,2))</f>
        <v/>
      </c>
      <c r="L218" s="27">
        <f>IF(N(I218)=0,"",IF(P218="SI",I218,I218+N(K218)))</f>
        <v/>
      </c>
      <c r="M218" s="23" t="n"/>
      <c r="N218" s="26" t="n"/>
      <c r="O218" s="27">
        <f>IF(N(I218)=0,"",ROUND(N(K218)*N(N218),2))</f>
        <v/>
      </c>
      <c r="P218" s="23" t="n"/>
      <c r="Q218" s="23" t="n"/>
      <c r="R218" s="23" t="n"/>
    </row>
    <row r="219">
      <c r="A219" s="23" t="n"/>
      <c r="B219" s="23" t="n"/>
      <c r="C219" s="24" t="n"/>
      <c r="D219" s="24" t="n"/>
      <c r="E219" s="23" t="n"/>
      <c r="F219" s="23" t="n"/>
      <c r="G219" s="23" t="n"/>
      <c r="H219" s="23" t="n"/>
      <c r="I219" s="25" t="n"/>
      <c r="J219" s="26" t="n"/>
      <c r="K219" s="27">
        <f>IF(N(I219)=0,"",ROUND(I219*J219,2))</f>
        <v/>
      </c>
      <c r="L219" s="27">
        <f>IF(N(I219)=0,"",IF(P219="SI",I219,I219+N(K219)))</f>
        <v/>
      </c>
      <c r="M219" s="23" t="n"/>
      <c r="N219" s="26" t="n"/>
      <c r="O219" s="27">
        <f>IF(N(I219)=0,"",ROUND(N(K219)*N(N219),2))</f>
        <v/>
      </c>
      <c r="P219" s="23" t="n"/>
      <c r="Q219" s="23" t="n"/>
      <c r="R219" s="23" t="n"/>
    </row>
    <row r="220">
      <c r="A220" s="23" t="n"/>
      <c r="B220" s="23" t="n"/>
      <c r="C220" s="24" t="n"/>
      <c r="D220" s="24" t="n"/>
      <c r="E220" s="23" t="n"/>
      <c r="F220" s="23" t="n"/>
      <c r="G220" s="23" t="n"/>
      <c r="H220" s="23" t="n"/>
      <c r="I220" s="25" t="n"/>
      <c r="J220" s="26" t="n"/>
      <c r="K220" s="27">
        <f>IF(N(I220)=0,"",ROUND(I220*J220,2))</f>
        <v/>
      </c>
      <c r="L220" s="27">
        <f>IF(N(I220)=0,"",IF(P220="SI",I220,I220+N(K220)))</f>
        <v/>
      </c>
      <c r="M220" s="23" t="n"/>
      <c r="N220" s="26" t="n"/>
      <c r="O220" s="27">
        <f>IF(N(I220)=0,"",ROUND(N(K220)*N(N220),2))</f>
        <v/>
      </c>
      <c r="P220" s="23" t="n"/>
      <c r="Q220" s="23" t="n"/>
      <c r="R220" s="23" t="n"/>
    </row>
    <row r="221">
      <c r="A221" s="23" t="n"/>
      <c r="B221" s="23" t="n"/>
      <c r="C221" s="24" t="n"/>
      <c r="D221" s="24" t="n"/>
      <c r="E221" s="23" t="n"/>
      <c r="F221" s="23" t="n"/>
      <c r="G221" s="23" t="n"/>
      <c r="H221" s="23" t="n"/>
      <c r="I221" s="25" t="n"/>
      <c r="J221" s="26" t="n"/>
      <c r="K221" s="27">
        <f>IF(N(I221)=0,"",ROUND(I221*J221,2))</f>
        <v/>
      </c>
      <c r="L221" s="27">
        <f>IF(N(I221)=0,"",IF(P221="SI",I221,I221+N(K221)))</f>
        <v/>
      </c>
      <c r="M221" s="23" t="n"/>
      <c r="N221" s="26" t="n"/>
      <c r="O221" s="27">
        <f>IF(N(I221)=0,"",ROUND(N(K221)*N(N221),2))</f>
        <v/>
      </c>
      <c r="P221" s="23" t="n"/>
      <c r="Q221" s="23" t="n"/>
      <c r="R221" s="23" t="n"/>
    </row>
    <row r="222">
      <c r="A222" s="23" t="n"/>
      <c r="B222" s="23" t="n"/>
      <c r="C222" s="24" t="n"/>
      <c r="D222" s="24" t="n"/>
      <c r="E222" s="23" t="n"/>
      <c r="F222" s="23" t="n"/>
      <c r="G222" s="23" t="n"/>
      <c r="H222" s="23" t="n"/>
      <c r="I222" s="25" t="n"/>
      <c r="J222" s="26" t="n"/>
      <c r="K222" s="27">
        <f>IF(N(I222)=0,"",ROUND(I222*J222,2))</f>
        <v/>
      </c>
      <c r="L222" s="27">
        <f>IF(N(I222)=0,"",IF(P222="SI",I222,I222+N(K222)))</f>
        <v/>
      </c>
      <c r="M222" s="23" t="n"/>
      <c r="N222" s="26" t="n"/>
      <c r="O222" s="27">
        <f>IF(N(I222)=0,"",ROUND(N(K222)*N(N222),2))</f>
        <v/>
      </c>
      <c r="P222" s="23" t="n"/>
      <c r="Q222" s="23" t="n"/>
      <c r="R222" s="23" t="n"/>
    </row>
    <row r="223">
      <c r="A223" s="23" t="n"/>
      <c r="B223" s="23" t="n"/>
      <c r="C223" s="24" t="n"/>
      <c r="D223" s="24" t="n"/>
      <c r="E223" s="23" t="n"/>
      <c r="F223" s="23" t="n"/>
      <c r="G223" s="23" t="n"/>
      <c r="H223" s="23" t="n"/>
      <c r="I223" s="25" t="n"/>
      <c r="J223" s="26" t="n"/>
      <c r="K223" s="27">
        <f>IF(N(I223)=0,"",ROUND(I223*J223,2))</f>
        <v/>
      </c>
      <c r="L223" s="27">
        <f>IF(N(I223)=0,"",IF(P223="SI",I223,I223+N(K223)))</f>
        <v/>
      </c>
      <c r="M223" s="23" t="n"/>
      <c r="N223" s="26" t="n"/>
      <c r="O223" s="27">
        <f>IF(N(I223)=0,"",ROUND(N(K223)*N(N223),2))</f>
        <v/>
      </c>
      <c r="P223" s="23" t="n"/>
      <c r="Q223" s="23" t="n"/>
      <c r="R223" s="23" t="n"/>
    </row>
    <row r="224">
      <c r="A224" s="23" t="n"/>
      <c r="B224" s="23" t="n"/>
      <c r="C224" s="24" t="n"/>
      <c r="D224" s="24" t="n"/>
      <c r="E224" s="23" t="n"/>
      <c r="F224" s="23" t="n"/>
      <c r="G224" s="23" t="n"/>
      <c r="H224" s="23" t="n"/>
      <c r="I224" s="25" t="n"/>
      <c r="J224" s="26" t="n"/>
      <c r="K224" s="27">
        <f>IF(N(I224)=0,"",ROUND(I224*J224,2))</f>
        <v/>
      </c>
      <c r="L224" s="27">
        <f>IF(N(I224)=0,"",IF(P224="SI",I224,I224+N(K224)))</f>
        <v/>
      </c>
      <c r="M224" s="23" t="n"/>
      <c r="N224" s="26" t="n"/>
      <c r="O224" s="27">
        <f>IF(N(I224)=0,"",ROUND(N(K224)*N(N224),2))</f>
        <v/>
      </c>
      <c r="P224" s="23" t="n"/>
      <c r="Q224" s="23" t="n"/>
      <c r="R224" s="23" t="n"/>
    </row>
    <row r="225">
      <c r="A225" s="23" t="n"/>
      <c r="B225" s="23" t="n"/>
      <c r="C225" s="24" t="n"/>
      <c r="D225" s="24" t="n"/>
      <c r="E225" s="23" t="n"/>
      <c r="F225" s="23" t="n"/>
      <c r="G225" s="23" t="n"/>
      <c r="H225" s="23" t="n"/>
      <c r="I225" s="25" t="n"/>
      <c r="J225" s="26" t="n"/>
      <c r="K225" s="27">
        <f>IF(N(I225)=0,"",ROUND(I225*J225,2))</f>
        <v/>
      </c>
      <c r="L225" s="27">
        <f>IF(N(I225)=0,"",IF(P225="SI",I225,I225+N(K225)))</f>
        <v/>
      </c>
      <c r="M225" s="23" t="n"/>
      <c r="N225" s="26" t="n"/>
      <c r="O225" s="27">
        <f>IF(N(I225)=0,"",ROUND(N(K225)*N(N225),2))</f>
        <v/>
      </c>
      <c r="P225" s="23" t="n"/>
      <c r="Q225" s="23" t="n"/>
      <c r="R225" s="23" t="n"/>
    </row>
    <row r="226">
      <c r="A226" s="23" t="n"/>
      <c r="B226" s="23" t="n"/>
      <c r="C226" s="24" t="n"/>
      <c r="D226" s="24" t="n"/>
      <c r="E226" s="23" t="n"/>
      <c r="F226" s="23" t="n"/>
      <c r="G226" s="23" t="n"/>
      <c r="H226" s="23" t="n"/>
      <c r="I226" s="25" t="n"/>
      <c r="J226" s="26" t="n"/>
      <c r="K226" s="27">
        <f>IF(N(I226)=0,"",ROUND(I226*J226,2))</f>
        <v/>
      </c>
      <c r="L226" s="27">
        <f>IF(N(I226)=0,"",IF(P226="SI",I226,I226+N(K226)))</f>
        <v/>
      </c>
      <c r="M226" s="23" t="n"/>
      <c r="N226" s="26" t="n"/>
      <c r="O226" s="27">
        <f>IF(N(I226)=0,"",ROUND(N(K226)*N(N226),2))</f>
        <v/>
      </c>
      <c r="P226" s="23" t="n"/>
      <c r="Q226" s="23" t="n"/>
      <c r="R226" s="23" t="n"/>
    </row>
    <row r="227">
      <c r="A227" s="23" t="n"/>
      <c r="B227" s="23" t="n"/>
      <c r="C227" s="24" t="n"/>
      <c r="D227" s="24" t="n"/>
      <c r="E227" s="23" t="n"/>
      <c r="F227" s="23" t="n"/>
      <c r="G227" s="23" t="n"/>
      <c r="H227" s="23" t="n"/>
      <c r="I227" s="25" t="n"/>
      <c r="J227" s="26" t="n"/>
      <c r="K227" s="27">
        <f>IF(N(I227)=0,"",ROUND(I227*J227,2))</f>
        <v/>
      </c>
      <c r="L227" s="27">
        <f>IF(N(I227)=0,"",IF(P227="SI",I227,I227+N(K227)))</f>
        <v/>
      </c>
      <c r="M227" s="23" t="n"/>
      <c r="N227" s="26" t="n"/>
      <c r="O227" s="27">
        <f>IF(N(I227)=0,"",ROUND(N(K227)*N(N227),2))</f>
        <v/>
      </c>
      <c r="P227" s="23" t="n"/>
      <c r="Q227" s="23" t="n"/>
      <c r="R227" s="23" t="n"/>
    </row>
    <row r="228">
      <c r="A228" s="23" t="n"/>
      <c r="B228" s="23" t="n"/>
      <c r="C228" s="24" t="n"/>
      <c r="D228" s="24" t="n"/>
      <c r="E228" s="23" t="n"/>
      <c r="F228" s="23" t="n"/>
      <c r="G228" s="23" t="n"/>
      <c r="H228" s="23" t="n"/>
      <c r="I228" s="25" t="n"/>
      <c r="J228" s="26" t="n"/>
      <c r="K228" s="27">
        <f>IF(N(I228)=0,"",ROUND(I228*J228,2))</f>
        <v/>
      </c>
      <c r="L228" s="27">
        <f>IF(N(I228)=0,"",IF(P228="SI",I228,I228+N(K228)))</f>
        <v/>
      </c>
      <c r="M228" s="23" t="n"/>
      <c r="N228" s="26" t="n"/>
      <c r="O228" s="27">
        <f>IF(N(I228)=0,"",ROUND(N(K228)*N(N228),2))</f>
        <v/>
      </c>
      <c r="P228" s="23" t="n"/>
      <c r="Q228" s="23" t="n"/>
      <c r="R228" s="23" t="n"/>
    </row>
    <row r="229">
      <c r="A229" s="23" t="n"/>
      <c r="B229" s="23" t="n"/>
      <c r="C229" s="24" t="n"/>
      <c r="D229" s="24" t="n"/>
      <c r="E229" s="23" t="n"/>
      <c r="F229" s="23" t="n"/>
      <c r="G229" s="23" t="n"/>
      <c r="H229" s="23" t="n"/>
      <c r="I229" s="25" t="n"/>
      <c r="J229" s="26" t="n"/>
      <c r="K229" s="27">
        <f>IF(N(I229)=0,"",ROUND(I229*J229,2))</f>
        <v/>
      </c>
      <c r="L229" s="27">
        <f>IF(N(I229)=0,"",IF(P229="SI",I229,I229+N(K229)))</f>
        <v/>
      </c>
      <c r="M229" s="23" t="n"/>
      <c r="N229" s="26" t="n"/>
      <c r="O229" s="27">
        <f>IF(N(I229)=0,"",ROUND(N(K229)*N(N229),2))</f>
        <v/>
      </c>
      <c r="P229" s="23" t="n"/>
      <c r="Q229" s="23" t="n"/>
      <c r="R229" s="23" t="n"/>
    </row>
    <row r="230">
      <c r="A230" s="23" t="n"/>
      <c r="B230" s="23" t="n"/>
      <c r="C230" s="24" t="n"/>
      <c r="D230" s="24" t="n"/>
      <c r="E230" s="23" t="n"/>
      <c r="F230" s="23" t="n"/>
      <c r="G230" s="23" t="n"/>
      <c r="H230" s="23" t="n"/>
      <c r="I230" s="25" t="n"/>
      <c r="J230" s="26" t="n"/>
      <c r="K230" s="27">
        <f>IF(N(I230)=0,"",ROUND(I230*J230,2))</f>
        <v/>
      </c>
      <c r="L230" s="27">
        <f>IF(N(I230)=0,"",IF(P230="SI",I230,I230+N(K230)))</f>
        <v/>
      </c>
      <c r="M230" s="23" t="n"/>
      <c r="N230" s="26" t="n"/>
      <c r="O230" s="27">
        <f>IF(N(I230)=0,"",ROUND(N(K230)*N(N230),2))</f>
        <v/>
      </c>
      <c r="P230" s="23" t="n"/>
      <c r="Q230" s="23" t="n"/>
      <c r="R230" s="23" t="n"/>
    </row>
    <row r="231">
      <c r="A231" s="23" t="n"/>
      <c r="B231" s="23" t="n"/>
      <c r="C231" s="24" t="n"/>
      <c r="D231" s="24" t="n"/>
      <c r="E231" s="23" t="n"/>
      <c r="F231" s="23" t="n"/>
      <c r="G231" s="23" t="n"/>
      <c r="H231" s="23" t="n"/>
      <c r="I231" s="25" t="n"/>
      <c r="J231" s="26" t="n"/>
      <c r="K231" s="27">
        <f>IF(N(I231)=0,"",ROUND(I231*J231,2))</f>
        <v/>
      </c>
      <c r="L231" s="27">
        <f>IF(N(I231)=0,"",IF(P231="SI",I231,I231+N(K231)))</f>
        <v/>
      </c>
      <c r="M231" s="23" t="n"/>
      <c r="N231" s="26" t="n"/>
      <c r="O231" s="27">
        <f>IF(N(I231)=0,"",ROUND(N(K231)*N(N231),2))</f>
        <v/>
      </c>
      <c r="P231" s="23" t="n"/>
      <c r="Q231" s="23" t="n"/>
      <c r="R231" s="23" t="n"/>
    </row>
    <row r="232">
      <c r="A232" s="23" t="n"/>
      <c r="B232" s="23" t="n"/>
      <c r="C232" s="24" t="n"/>
      <c r="D232" s="24" t="n"/>
      <c r="E232" s="23" t="n"/>
      <c r="F232" s="23" t="n"/>
      <c r="G232" s="23" t="n"/>
      <c r="H232" s="23" t="n"/>
      <c r="I232" s="25" t="n"/>
      <c r="J232" s="26" t="n"/>
      <c r="K232" s="27">
        <f>IF(N(I232)=0,"",ROUND(I232*J232,2))</f>
        <v/>
      </c>
      <c r="L232" s="27">
        <f>IF(N(I232)=0,"",IF(P232="SI",I232,I232+N(K232)))</f>
        <v/>
      </c>
      <c r="M232" s="23" t="n"/>
      <c r="N232" s="26" t="n"/>
      <c r="O232" s="27">
        <f>IF(N(I232)=0,"",ROUND(N(K232)*N(N232),2))</f>
        <v/>
      </c>
      <c r="P232" s="23" t="n"/>
      <c r="Q232" s="23" t="n"/>
      <c r="R232" s="23" t="n"/>
    </row>
    <row r="233">
      <c r="A233" s="23" t="n"/>
      <c r="B233" s="23" t="n"/>
      <c r="C233" s="24" t="n"/>
      <c r="D233" s="24" t="n"/>
      <c r="E233" s="23" t="n"/>
      <c r="F233" s="23" t="n"/>
      <c r="G233" s="23" t="n"/>
      <c r="H233" s="23" t="n"/>
      <c r="I233" s="25" t="n"/>
      <c r="J233" s="26" t="n"/>
      <c r="K233" s="27">
        <f>IF(N(I233)=0,"",ROUND(I233*J233,2))</f>
        <v/>
      </c>
      <c r="L233" s="27">
        <f>IF(N(I233)=0,"",IF(P233="SI",I233,I233+N(K233)))</f>
        <v/>
      </c>
      <c r="M233" s="23" t="n"/>
      <c r="N233" s="26" t="n"/>
      <c r="O233" s="27">
        <f>IF(N(I233)=0,"",ROUND(N(K233)*N(N233),2))</f>
        <v/>
      </c>
      <c r="P233" s="23" t="n"/>
      <c r="Q233" s="23" t="n"/>
      <c r="R233" s="23" t="n"/>
    </row>
    <row r="234">
      <c r="A234" s="23" t="n"/>
      <c r="B234" s="23" t="n"/>
      <c r="C234" s="24" t="n"/>
      <c r="D234" s="24" t="n"/>
      <c r="E234" s="23" t="n"/>
      <c r="F234" s="23" t="n"/>
      <c r="G234" s="23" t="n"/>
      <c r="H234" s="23" t="n"/>
      <c r="I234" s="25" t="n"/>
      <c r="J234" s="26" t="n"/>
      <c r="K234" s="27">
        <f>IF(N(I234)=0,"",ROUND(I234*J234,2))</f>
        <v/>
      </c>
      <c r="L234" s="27">
        <f>IF(N(I234)=0,"",IF(P234="SI",I234,I234+N(K234)))</f>
        <v/>
      </c>
      <c r="M234" s="23" t="n"/>
      <c r="N234" s="26" t="n"/>
      <c r="O234" s="27">
        <f>IF(N(I234)=0,"",ROUND(N(K234)*N(N234),2))</f>
        <v/>
      </c>
      <c r="P234" s="23" t="n"/>
      <c r="Q234" s="23" t="n"/>
      <c r="R234" s="23" t="n"/>
    </row>
    <row r="235">
      <c r="A235" s="23" t="n"/>
      <c r="B235" s="23" t="n"/>
      <c r="C235" s="24" t="n"/>
      <c r="D235" s="24" t="n"/>
      <c r="E235" s="23" t="n"/>
      <c r="F235" s="23" t="n"/>
      <c r="G235" s="23" t="n"/>
      <c r="H235" s="23" t="n"/>
      <c r="I235" s="25" t="n"/>
      <c r="J235" s="26" t="n"/>
      <c r="K235" s="27">
        <f>IF(N(I235)=0,"",ROUND(I235*J235,2))</f>
        <v/>
      </c>
      <c r="L235" s="27">
        <f>IF(N(I235)=0,"",IF(P235="SI",I235,I235+N(K235)))</f>
        <v/>
      </c>
      <c r="M235" s="23" t="n"/>
      <c r="N235" s="26" t="n"/>
      <c r="O235" s="27">
        <f>IF(N(I235)=0,"",ROUND(N(K235)*N(N235),2))</f>
        <v/>
      </c>
      <c r="P235" s="23" t="n"/>
      <c r="Q235" s="23" t="n"/>
      <c r="R235" s="23" t="n"/>
    </row>
    <row r="236">
      <c r="A236" s="23" t="n"/>
      <c r="B236" s="23" t="n"/>
      <c r="C236" s="24" t="n"/>
      <c r="D236" s="24" t="n"/>
      <c r="E236" s="23" t="n"/>
      <c r="F236" s="23" t="n"/>
      <c r="G236" s="23" t="n"/>
      <c r="H236" s="23" t="n"/>
      <c r="I236" s="25" t="n"/>
      <c r="J236" s="26" t="n"/>
      <c r="K236" s="27">
        <f>IF(N(I236)=0,"",ROUND(I236*J236,2))</f>
        <v/>
      </c>
      <c r="L236" s="27">
        <f>IF(N(I236)=0,"",IF(P236="SI",I236,I236+N(K236)))</f>
        <v/>
      </c>
      <c r="M236" s="23" t="n"/>
      <c r="N236" s="26" t="n"/>
      <c r="O236" s="27">
        <f>IF(N(I236)=0,"",ROUND(N(K236)*N(N236),2))</f>
        <v/>
      </c>
      <c r="P236" s="23" t="n"/>
      <c r="Q236" s="23" t="n"/>
      <c r="R236" s="23" t="n"/>
    </row>
    <row r="237">
      <c r="A237" s="23" t="n"/>
      <c r="B237" s="23" t="n"/>
      <c r="C237" s="24" t="n"/>
      <c r="D237" s="24" t="n"/>
      <c r="E237" s="23" t="n"/>
      <c r="F237" s="23" t="n"/>
      <c r="G237" s="23" t="n"/>
      <c r="H237" s="23" t="n"/>
      <c r="I237" s="25" t="n"/>
      <c r="J237" s="26" t="n"/>
      <c r="K237" s="27">
        <f>IF(N(I237)=0,"",ROUND(I237*J237,2))</f>
        <v/>
      </c>
      <c r="L237" s="27">
        <f>IF(N(I237)=0,"",IF(P237="SI",I237,I237+N(K237)))</f>
        <v/>
      </c>
      <c r="M237" s="23" t="n"/>
      <c r="N237" s="26" t="n"/>
      <c r="O237" s="27">
        <f>IF(N(I237)=0,"",ROUND(N(K237)*N(N237),2))</f>
        <v/>
      </c>
      <c r="P237" s="23" t="n"/>
      <c r="Q237" s="23" t="n"/>
      <c r="R237" s="23" t="n"/>
    </row>
    <row r="238">
      <c r="A238" s="23" t="n"/>
      <c r="B238" s="23" t="n"/>
      <c r="C238" s="24" t="n"/>
      <c r="D238" s="24" t="n"/>
      <c r="E238" s="23" t="n"/>
      <c r="F238" s="23" t="n"/>
      <c r="G238" s="23" t="n"/>
      <c r="H238" s="23" t="n"/>
      <c r="I238" s="25" t="n"/>
      <c r="J238" s="26" t="n"/>
      <c r="K238" s="27">
        <f>IF(N(I238)=0,"",ROUND(I238*J238,2))</f>
        <v/>
      </c>
      <c r="L238" s="27">
        <f>IF(N(I238)=0,"",IF(P238="SI",I238,I238+N(K238)))</f>
        <v/>
      </c>
      <c r="M238" s="23" t="n"/>
      <c r="N238" s="26" t="n"/>
      <c r="O238" s="27">
        <f>IF(N(I238)=0,"",ROUND(N(K238)*N(N238),2))</f>
        <v/>
      </c>
      <c r="P238" s="23" t="n"/>
      <c r="Q238" s="23" t="n"/>
      <c r="R238" s="23" t="n"/>
    </row>
    <row r="239">
      <c r="A239" s="23" t="n"/>
      <c r="B239" s="23" t="n"/>
      <c r="C239" s="24" t="n"/>
      <c r="D239" s="24" t="n"/>
      <c r="E239" s="23" t="n"/>
      <c r="F239" s="23" t="n"/>
      <c r="G239" s="23" t="n"/>
      <c r="H239" s="23" t="n"/>
      <c r="I239" s="25" t="n"/>
      <c r="J239" s="26" t="n"/>
      <c r="K239" s="27">
        <f>IF(N(I239)=0,"",ROUND(I239*J239,2))</f>
        <v/>
      </c>
      <c r="L239" s="27">
        <f>IF(N(I239)=0,"",IF(P239="SI",I239,I239+N(K239)))</f>
        <v/>
      </c>
      <c r="M239" s="23" t="n"/>
      <c r="N239" s="26" t="n"/>
      <c r="O239" s="27">
        <f>IF(N(I239)=0,"",ROUND(N(K239)*N(N239),2))</f>
        <v/>
      </c>
      <c r="P239" s="23" t="n"/>
      <c r="Q239" s="23" t="n"/>
      <c r="R239" s="23" t="n"/>
    </row>
    <row r="240">
      <c r="A240" s="23" t="n"/>
      <c r="B240" s="23" t="n"/>
      <c r="C240" s="24" t="n"/>
      <c r="D240" s="24" t="n"/>
      <c r="E240" s="23" t="n"/>
      <c r="F240" s="23" t="n"/>
      <c r="G240" s="23" t="n"/>
      <c r="H240" s="23" t="n"/>
      <c r="I240" s="25" t="n"/>
      <c r="J240" s="26" t="n"/>
      <c r="K240" s="27">
        <f>IF(N(I240)=0,"",ROUND(I240*J240,2))</f>
        <v/>
      </c>
      <c r="L240" s="27">
        <f>IF(N(I240)=0,"",IF(P240="SI",I240,I240+N(K240)))</f>
        <v/>
      </c>
      <c r="M240" s="23" t="n"/>
      <c r="N240" s="26" t="n"/>
      <c r="O240" s="27">
        <f>IF(N(I240)=0,"",ROUND(N(K240)*N(N240),2))</f>
        <v/>
      </c>
      <c r="P240" s="23" t="n"/>
      <c r="Q240" s="23" t="n"/>
      <c r="R240" s="23" t="n"/>
    </row>
    <row r="241">
      <c r="A241" s="23" t="n"/>
      <c r="B241" s="23" t="n"/>
      <c r="C241" s="24" t="n"/>
      <c r="D241" s="24" t="n"/>
      <c r="E241" s="23" t="n"/>
      <c r="F241" s="23" t="n"/>
      <c r="G241" s="23" t="n"/>
      <c r="H241" s="23" t="n"/>
      <c r="I241" s="25" t="n"/>
      <c r="J241" s="26" t="n"/>
      <c r="K241" s="27">
        <f>IF(N(I241)=0,"",ROUND(I241*J241,2))</f>
        <v/>
      </c>
      <c r="L241" s="27">
        <f>IF(N(I241)=0,"",IF(P241="SI",I241,I241+N(K241)))</f>
        <v/>
      </c>
      <c r="M241" s="23" t="n"/>
      <c r="N241" s="26" t="n"/>
      <c r="O241" s="27">
        <f>IF(N(I241)=0,"",ROUND(N(K241)*N(N241),2))</f>
        <v/>
      </c>
      <c r="P241" s="23" t="n"/>
      <c r="Q241" s="23" t="n"/>
      <c r="R241" s="23" t="n"/>
    </row>
    <row r="242">
      <c r="A242" s="23" t="n"/>
      <c r="B242" s="23" t="n"/>
      <c r="C242" s="24" t="n"/>
      <c r="D242" s="24" t="n"/>
      <c r="E242" s="23" t="n"/>
      <c r="F242" s="23" t="n"/>
      <c r="G242" s="23" t="n"/>
      <c r="H242" s="23" t="n"/>
      <c r="I242" s="25" t="n"/>
      <c r="J242" s="26" t="n"/>
      <c r="K242" s="27">
        <f>IF(N(I242)=0,"",ROUND(I242*J242,2))</f>
        <v/>
      </c>
      <c r="L242" s="27">
        <f>IF(N(I242)=0,"",IF(P242="SI",I242,I242+N(K242)))</f>
        <v/>
      </c>
      <c r="M242" s="23" t="n"/>
      <c r="N242" s="26" t="n"/>
      <c r="O242" s="27">
        <f>IF(N(I242)=0,"",ROUND(N(K242)*N(N242),2))</f>
        <v/>
      </c>
      <c r="P242" s="23" t="n"/>
      <c r="Q242" s="23" t="n"/>
      <c r="R242" s="23" t="n"/>
    </row>
    <row r="243">
      <c r="A243" s="23" t="n"/>
      <c r="B243" s="23" t="n"/>
      <c r="C243" s="24" t="n"/>
      <c r="D243" s="24" t="n"/>
      <c r="E243" s="23" t="n"/>
      <c r="F243" s="23" t="n"/>
      <c r="G243" s="23" t="n"/>
      <c r="H243" s="23" t="n"/>
      <c r="I243" s="25" t="n"/>
      <c r="J243" s="26" t="n"/>
      <c r="K243" s="27">
        <f>IF(N(I243)=0,"",ROUND(I243*J243,2))</f>
        <v/>
      </c>
      <c r="L243" s="27">
        <f>IF(N(I243)=0,"",IF(P243="SI",I243,I243+N(K243)))</f>
        <v/>
      </c>
      <c r="M243" s="23" t="n"/>
      <c r="N243" s="26" t="n"/>
      <c r="O243" s="27">
        <f>IF(N(I243)=0,"",ROUND(N(K243)*N(N243),2))</f>
        <v/>
      </c>
      <c r="P243" s="23" t="n"/>
      <c r="Q243" s="23" t="n"/>
      <c r="R243" s="23" t="n"/>
    </row>
    <row r="244">
      <c r="A244" s="23" t="n"/>
      <c r="B244" s="23" t="n"/>
      <c r="C244" s="24" t="n"/>
      <c r="D244" s="24" t="n"/>
      <c r="E244" s="23" t="n"/>
      <c r="F244" s="23" t="n"/>
      <c r="G244" s="23" t="n"/>
      <c r="H244" s="23" t="n"/>
      <c r="I244" s="25" t="n"/>
      <c r="J244" s="26" t="n"/>
      <c r="K244" s="27">
        <f>IF(N(I244)=0,"",ROUND(I244*J244,2))</f>
        <v/>
      </c>
      <c r="L244" s="27">
        <f>IF(N(I244)=0,"",IF(P244="SI",I244,I244+N(K244)))</f>
        <v/>
      </c>
      <c r="M244" s="23" t="n"/>
      <c r="N244" s="26" t="n"/>
      <c r="O244" s="27">
        <f>IF(N(I244)=0,"",ROUND(N(K244)*N(N244),2))</f>
        <v/>
      </c>
      <c r="P244" s="23" t="n"/>
      <c r="Q244" s="23" t="n"/>
      <c r="R244" s="23" t="n"/>
    </row>
    <row r="245">
      <c r="A245" s="23" t="n"/>
      <c r="B245" s="23" t="n"/>
      <c r="C245" s="24" t="n"/>
      <c r="D245" s="24" t="n"/>
      <c r="E245" s="23" t="n"/>
      <c r="F245" s="23" t="n"/>
      <c r="G245" s="23" t="n"/>
      <c r="H245" s="23" t="n"/>
      <c r="I245" s="25" t="n"/>
      <c r="J245" s="26" t="n"/>
      <c r="K245" s="27">
        <f>IF(N(I245)=0,"",ROUND(I245*J245,2))</f>
        <v/>
      </c>
      <c r="L245" s="27">
        <f>IF(N(I245)=0,"",IF(P245="SI",I245,I245+N(K245)))</f>
        <v/>
      </c>
      <c r="M245" s="23" t="n"/>
      <c r="N245" s="26" t="n"/>
      <c r="O245" s="27">
        <f>IF(N(I245)=0,"",ROUND(N(K245)*N(N245),2))</f>
        <v/>
      </c>
      <c r="P245" s="23" t="n"/>
      <c r="Q245" s="23" t="n"/>
      <c r="R245" s="23" t="n"/>
    </row>
    <row r="246">
      <c r="A246" s="23" t="n"/>
      <c r="B246" s="23" t="n"/>
      <c r="C246" s="24" t="n"/>
      <c r="D246" s="24" t="n"/>
      <c r="E246" s="23" t="n"/>
      <c r="F246" s="23" t="n"/>
      <c r="G246" s="23" t="n"/>
      <c r="H246" s="23" t="n"/>
      <c r="I246" s="25" t="n"/>
      <c r="J246" s="26" t="n"/>
      <c r="K246" s="27">
        <f>IF(N(I246)=0,"",ROUND(I246*J246,2))</f>
        <v/>
      </c>
      <c r="L246" s="27">
        <f>IF(N(I246)=0,"",IF(P246="SI",I246,I246+N(K246)))</f>
        <v/>
      </c>
      <c r="M246" s="23" t="n"/>
      <c r="N246" s="26" t="n"/>
      <c r="O246" s="27">
        <f>IF(N(I246)=0,"",ROUND(N(K246)*N(N246),2))</f>
        <v/>
      </c>
      <c r="P246" s="23" t="n"/>
      <c r="Q246" s="23" t="n"/>
      <c r="R246" s="23" t="n"/>
    </row>
    <row r="247">
      <c r="A247" s="23" t="n"/>
      <c r="B247" s="23" t="n"/>
      <c r="C247" s="24" t="n"/>
      <c r="D247" s="24" t="n"/>
      <c r="E247" s="23" t="n"/>
      <c r="F247" s="23" t="n"/>
      <c r="G247" s="23" t="n"/>
      <c r="H247" s="23" t="n"/>
      <c r="I247" s="25" t="n"/>
      <c r="J247" s="26" t="n"/>
      <c r="K247" s="27">
        <f>IF(N(I247)=0,"",ROUND(I247*J247,2))</f>
        <v/>
      </c>
      <c r="L247" s="27">
        <f>IF(N(I247)=0,"",IF(P247="SI",I247,I247+N(K247)))</f>
        <v/>
      </c>
      <c r="M247" s="23" t="n"/>
      <c r="N247" s="26" t="n"/>
      <c r="O247" s="27">
        <f>IF(N(I247)=0,"",ROUND(N(K247)*N(N247),2))</f>
        <v/>
      </c>
      <c r="P247" s="23" t="n"/>
      <c r="Q247" s="23" t="n"/>
      <c r="R247" s="23" t="n"/>
    </row>
    <row r="248">
      <c r="A248" s="23" t="n"/>
      <c r="B248" s="23" t="n"/>
      <c r="C248" s="24" t="n"/>
      <c r="D248" s="24" t="n"/>
      <c r="E248" s="23" t="n"/>
      <c r="F248" s="23" t="n"/>
      <c r="G248" s="23" t="n"/>
      <c r="H248" s="23" t="n"/>
      <c r="I248" s="25" t="n"/>
      <c r="J248" s="26" t="n"/>
      <c r="K248" s="27">
        <f>IF(N(I248)=0,"",ROUND(I248*J248,2))</f>
        <v/>
      </c>
      <c r="L248" s="27">
        <f>IF(N(I248)=0,"",IF(P248="SI",I248,I248+N(K248)))</f>
        <v/>
      </c>
      <c r="M248" s="23" t="n"/>
      <c r="N248" s="26" t="n"/>
      <c r="O248" s="27">
        <f>IF(N(I248)=0,"",ROUND(N(K248)*N(N248),2))</f>
        <v/>
      </c>
      <c r="P248" s="23" t="n"/>
      <c r="Q248" s="23" t="n"/>
      <c r="R248" s="23" t="n"/>
    </row>
    <row r="249">
      <c r="A249" s="23" t="n"/>
      <c r="B249" s="23" t="n"/>
      <c r="C249" s="24" t="n"/>
      <c r="D249" s="24" t="n"/>
      <c r="E249" s="23" t="n"/>
      <c r="F249" s="23" t="n"/>
      <c r="G249" s="23" t="n"/>
      <c r="H249" s="23" t="n"/>
      <c r="I249" s="25" t="n"/>
      <c r="J249" s="26" t="n"/>
      <c r="K249" s="27">
        <f>IF(N(I249)=0,"",ROUND(I249*J249,2))</f>
        <v/>
      </c>
      <c r="L249" s="27">
        <f>IF(N(I249)=0,"",IF(P249="SI",I249,I249+N(K249)))</f>
        <v/>
      </c>
      <c r="M249" s="23" t="n"/>
      <c r="N249" s="26" t="n"/>
      <c r="O249" s="27">
        <f>IF(N(I249)=0,"",ROUND(N(K249)*N(N249),2))</f>
        <v/>
      </c>
      <c r="P249" s="23" t="n"/>
      <c r="Q249" s="23" t="n"/>
      <c r="R249" s="23" t="n"/>
    </row>
    <row r="250">
      <c r="A250" s="23" t="n"/>
      <c r="B250" s="23" t="n"/>
      <c r="C250" s="24" t="n"/>
      <c r="D250" s="24" t="n"/>
      <c r="E250" s="23" t="n"/>
      <c r="F250" s="23" t="n"/>
      <c r="G250" s="23" t="n"/>
      <c r="H250" s="23" t="n"/>
      <c r="I250" s="25" t="n"/>
      <c r="J250" s="26" t="n"/>
      <c r="K250" s="27">
        <f>IF(N(I250)=0,"",ROUND(I250*J250,2))</f>
        <v/>
      </c>
      <c r="L250" s="27">
        <f>IF(N(I250)=0,"",IF(P250="SI",I250,I250+N(K250)))</f>
        <v/>
      </c>
      <c r="M250" s="23" t="n"/>
      <c r="N250" s="26" t="n"/>
      <c r="O250" s="27">
        <f>IF(N(I250)=0,"",ROUND(N(K250)*N(N250),2))</f>
        <v/>
      </c>
      <c r="P250" s="23" t="n"/>
      <c r="Q250" s="23" t="n"/>
      <c r="R250" s="23" t="n"/>
    </row>
    <row r="251">
      <c r="A251" s="23" t="n"/>
      <c r="B251" s="23" t="n"/>
      <c r="C251" s="24" t="n"/>
      <c r="D251" s="24" t="n"/>
      <c r="E251" s="23" t="n"/>
      <c r="F251" s="23" t="n"/>
      <c r="G251" s="23" t="n"/>
      <c r="H251" s="23" t="n"/>
      <c r="I251" s="25" t="n"/>
      <c r="J251" s="26" t="n"/>
      <c r="K251" s="27">
        <f>IF(N(I251)=0,"",ROUND(I251*J251,2))</f>
        <v/>
      </c>
      <c r="L251" s="27">
        <f>IF(N(I251)=0,"",IF(P251="SI",I251,I251+N(K251)))</f>
        <v/>
      </c>
      <c r="M251" s="23" t="n"/>
      <c r="N251" s="26" t="n"/>
      <c r="O251" s="27">
        <f>IF(N(I251)=0,"",ROUND(N(K251)*N(N251),2))</f>
        <v/>
      </c>
      <c r="P251" s="23" t="n"/>
      <c r="Q251" s="23" t="n"/>
      <c r="R251" s="23" t="n"/>
    </row>
    <row r="252">
      <c r="A252" s="23" t="n"/>
      <c r="B252" s="23" t="n"/>
      <c r="C252" s="24" t="n"/>
      <c r="D252" s="24" t="n"/>
      <c r="E252" s="23" t="n"/>
      <c r="F252" s="23" t="n"/>
      <c r="G252" s="23" t="n"/>
      <c r="H252" s="23" t="n"/>
      <c r="I252" s="25" t="n"/>
      <c r="J252" s="26" t="n"/>
      <c r="K252" s="27">
        <f>IF(N(I252)=0,"",ROUND(I252*J252,2))</f>
        <v/>
      </c>
      <c r="L252" s="27">
        <f>IF(N(I252)=0,"",IF(P252="SI",I252,I252+N(K252)))</f>
        <v/>
      </c>
      <c r="M252" s="23" t="n"/>
      <c r="N252" s="26" t="n"/>
      <c r="O252" s="27">
        <f>IF(N(I252)=0,"",ROUND(N(K252)*N(N252),2))</f>
        <v/>
      </c>
      <c r="P252" s="23" t="n"/>
      <c r="Q252" s="23" t="n"/>
      <c r="R252" s="23" t="n"/>
    </row>
    <row r="253">
      <c r="A253" s="23" t="n"/>
      <c r="B253" s="23" t="n"/>
      <c r="C253" s="24" t="n"/>
      <c r="D253" s="24" t="n"/>
      <c r="E253" s="23" t="n"/>
      <c r="F253" s="23" t="n"/>
      <c r="G253" s="23" t="n"/>
      <c r="H253" s="23" t="n"/>
      <c r="I253" s="25" t="n"/>
      <c r="J253" s="26" t="n"/>
      <c r="K253" s="27">
        <f>IF(N(I253)=0,"",ROUND(I253*J253,2))</f>
        <v/>
      </c>
      <c r="L253" s="27">
        <f>IF(N(I253)=0,"",IF(P253="SI",I253,I253+N(K253)))</f>
        <v/>
      </c>
      <c r="M253" s="23" t="n"/>
      <c r="N253" s="26" t="n"/>
      <c r="O253" s="27">
        <f>IF(N(I253)=0,"",ROUND(N(K253)*N(N253),2))</f>
        <v/>
      </c>
      <c r="P253" s="23" t="n"/>
      <c r="Q253" s="23" t="n"/>
      <c r="R253" s="23" t="n"/>
    </row>
    <row r="254">
      <c r="A254" s="23" t="n"/>
      <c r="B254" s="23" t="n"/>
      <c r="C254" s="24" t="n"/>
      <c r="D254" s="24" t="n"/>
      <c r="E254" s="23" t="n"/>
      <c r="F254" s="23" t="n"/>
      <c r="G254" s="23" t="n"/>
      <c r="H254" s="23" t="n"/>
      <c r="I254" s="25" t="n"/>
      <c r="J254" s="26" t="n"/>
      <c r="K254" s="27">
        <f>IF(N(I254)=0,"",ROUND(I254*J254,2))</f>
        <v/>
      </c>
      <c r="L254" s="27">
        <f>IF(N(I254)=0,"",IF(P254="SI",I254,I254+N(K254)))</f>
        <v/>
      </c>
      <c r="M254" s="23" t="n"/>
      <c r="N254" s="26" t="n"/>
      <c r="O254" s="27">
        <f>IF(N(I254)=0,"",ROUND(N(K254)*N(N254),2))</f>
        <v/>
      </c>
      <c r="P254" s="23" t="n"/>
      <c r="Q254" s="23" t="n"/>
      <c r="R254" s="23" t="n"/>
    </row>
    <row r="255">
      <c r="A255" s="23" t="n"/>
      <c r="B255" s="23" t="n"/>
      <c r="C255" s="24" t="n"/>
      <c r="D255" s="24" t="n"/>
      <c r="E255" s="23" t="n"/>
      <c r="F255" s="23" t="n"/>
      <c r="G255" s="23" t="n"/>
      <c r="H255" s="23" t="n"/>
      <c r="I255" s="25" t="n"/>
      <c r="J255" s="26" t="n"/>
      <c r="K255" s="27">
        <f>IF(N(I255)=0,"",ROUND(I255*J255,2))</f>
        <v/>
      </c>
      <c r="L255" s="27">
        <f>IF(N(I255)=0,"",IF(P255="SI",I255,I255+N(K255)))</f>
        <v/>
      </c>
      <c r="M255" s="23" t="n"/>
      <c r="N255" s="26" t="n"/>
      <c r="O255" s="27">
        <f>IF(N(I255)=0,"",ROUND(N(K255)*N(N255),2))</f>
        <v/>
      </c>
      <c r="P255" s="23" t="n"/>
      <c r="Q255" s="23" t="n"/>
      <c r="R255" s="23" t="n"/>
    </row>
    <row r="256">
      <c r="A256" s="23" t="n"/>
      <c r="B256" s="23" t="n"/>
      <c r="C256" s="24" t="n"/>
      <c r="D256" s="24" t="n"/>
      <c r="E256" s="23" t="n"/>
      <c r="F256" s="23" t="n"/>
      <c r="G256" s="23" t="n"/>
      <c r="H256" s="23" t="n"/>
      <c r="I256" s="25" t="n"/>
      <c r="J256" s="26" t="n"/>
      <c r="K256" s="27">
        <f>IF(N(I256)=0,"",ROUND(I256*J256,2))</f>
        <v/>
      </c>
      <c r="L256" s="27">
        <f>IF(N(I256)=0,"",IF(P256="SI",I256,I256+N(K256)))</f>
        <v/>
      </c>
      <c r="M256" s="23" t="n"/>
      <c r="N256" s="26" t="n"/>
      <c r="O256" s="27">
        <f>IF(N(I256)=0,"",ROUND(N(K256)*N(N256),2))</f>
        <v/>
      </c>
      <c r="P256" s="23" t="n"/>
      <c r="Q256" s="23" t="n"/>
      <c r="R256" s="23" t="n"/>
    </row>
    <row r="257">
      <c r="A257" s="23" t="n"/>
      <c r="B257" s="23" t="n"/>
      <c r="C257" s="24" t="n"/>
      <c r="D257" s="24" t="n"/>
      <c r="E257" s="23" t="n"/>
      <c r="F257" s="23" t="n"/>
      <c r="G257" s="23" t="n"/>
      <c r="H257" s="23" t="n"/>
      <c r="I257" s="25" t="n"/>
      <c r="J257" s="26" t="n"/>
      <c r="K257" s="27">
        <f>IF(N(I257)=0,"",ROUND(I257*J257,2))</f>
        <v/>
      </c>
      <c r="L257" s="27">
        <f>IF(N(I257)=0,"",IF(P257="SI",I257,I257+N(K257)))</f>
        <v/>
      </c>
      <c r="M257" s="23" t="n"/>
      <c r="N257" s="26" t="n"/>
      <c r="O257" s="27">
        <f>IF(N(I257)=0,"",ROUND(N(K257)*N(N257),2))</f>
        <v/>
      </c>
      <c r="P257" s="23" t="n"/>
      <c r="Q257" s="23" t="n"/>
      <c r="R257" s="23" t="n"/>
    </row>
    <row r="258">
      <c r="A258" s="23" t="n"/>
      <c r="B258" s="23" t="n"/>
      <c r="C258" s="24" t="n"/>
      <c r="D258" s="24" t="n"/>
      <c r="E258" s="23" t="n"/>
      <c r="F258" s="23" t="n"/>
      <c r="G258" s="23" t="n"/>
      <c r="H258" s="23" t="n"/>
      <c r="I258" s="25" t="n"/>
      <c r="J258" s="26" t="n"/>
      <c r="K258" s="27">
        <f>IF(N(I258)=0,"",ROUND(I258*J258,2))</f>
        <v/>
      </c>
      <c r="L258" s="27">
        <f>IF(N(I258)=0,"",IF(P258="SI",I258,I258+N(K258)))</f>
        <v/>
      </c>
      <c r="M258" s="23" t="n"/>
      <c r="N258" s="26" t="n"/>
      <c r="O258" s="27">
        <f>IF(N(I258)=0,"",ROUND(N(K258)*N(N258),2))</f>
        <v/>
      </c>
      <c r="P258" s="23" t="n"/>
      <c r="Q258" s="23" t="n"/>
      <c r="R258" s="23" t="n"/>
    </row>
    <row r="259">
      <c r="A259" s="23" t="n"/>
      <c r="B259" s="23" t="n"/>
      <c r="C259" s="24" t="n"/>
      <c r="D259" s="24" t="n"/>
      <c r="E259" s="23" t="n"/>
      <c r="F259" s="23" t="n"/>
      <c r="G259" s="23" t="n"/>
      <c r="H259" s="23" t="n"/>
      <c r="I259" s="25" t="n"/>
      <c r="J259" s="26" t="n"/>
      <c r="K259" s="27">
        <f>IF(N(I259)=0,"",ROUND(I259*J259,2))</f>
        <v/>
      </c>
      <c r="L259" s="27">
        <f>IF(N(I259)=0,"",IF(P259="SI",I259,I259+N(K259)))</f>
        <v/>
      </c>
      <c r="M259" s="23" t="n"/>
      <c r="N259" s="26" t="n"/>
      <c r="O259" s="27">
        <f>IF(N(I259)=0,"",ROUND(N(K259)*N(N259),2))</f>
        <v/>
      </c>
      <c r="P259" s="23" t="n"/>
      <c r="Q259" s="23" t="n"/>
      <c r="R259" s="23" t="n"/>
    </row>
    <row r="260">
      <c r="A260" s="23" t="n"/>
      <c r="B260" s="23" t="n"/>
      <c r="C260" s="24" t="n"/>
      <c r="D260" s="24" t="n"/>
      <c r="E260" s="23" t="n"/>
      <c r="F260" s="23" t="n"/>
      <c r="G260" s="23" t="n"/>
      <c r="H260" s="23" t="n"/>
      <c r="I260" s="25" t="n"/>
      <c r="J260" s="26" t="n"/>
      <c r="K260" s="27">
        <f>IF(N(I260)=0,"",ROUND(I260*J260,2))</f>
        <v/>
      </c>
      <c r="L260" s="27">
        <f>IF(N(I260)=0,"",IF(P260="SI",I260,I260+N(K260)))</f>
        <v/>
      </c>
      <c r="M260" s="23" t="n"/>
      <c r="N260" s="26" t="n"/>
      <c r="O260" s="27">
        <f>IF(N(I260)=0,"",ROUND(N(K260)*N(N260),2))</f>
        <v/>
      </c>
      <c r="P260" s="23" t="n"/>
      <c r="Q260" s="23" t="n"/>
      <c r="R260" s="23" t="n"/>
    </row>
    <row r="261">
      <c r="A261" s="23" t="n"/>
      <c r="B261" s="23" t="n"/>
      <c r="C261" s="24" t="n"/>
      <c r="D261" s="24" t="n"/>
      <c r="E261" s="23" t="n"/>
      <c r="F261" s="23" t="n"/>
      <c r="G261" s="23" t="n"/>
      <c r="H261" s="23" t="n"/>
      <c r="I261" s="25" t="n"/>
      <c r="J261" s="26" t="n"/>
      <c r="K261" s="27">
        <f>IF(N(I261)=0,"",ROUND(I261*J261,2))</f>
        <v/>
      </c>
      <c r="L261" s="27">
        <f>IF(N(I261)=0,"",IF(P261="SI",I261,I261+N(K261)))</f>
        <v/>
      </c>
      <c r="M261" s="23" t="n"/>
      <c r="N261" s="26" t="n"/>
      <c r="O261" s="27">
        <f>IF(N(I261)=0,"",ROUND(N(K261)*N(N261),2))</f>
        <v/>
      </c>
      <c r="P261" s="23" t="n"/>
      <c r="Q261" s="23" t="n"/>
      <c r="R261" s="23" t="n"/>
    </row>
    <row r="262">
      <c r="A262" s="23" t="n"/>
      <c r="B262" s="23" t="n"/>
      <c r="C262" s="24" t="n"/>
      <c r="D262" s="24" t="n"/>
      <c r="E262" s="23" t="n"/>
      <c r="F262" s="23" t="n"/>
      <c r="G262" s="23" t="n"/>
      <c r="H262" s="23" t="n"/>
      <c r="I262" s="25" t="n"/>
      <c r="J262" s="26" t="n"/>
      <c r="K262" s="27">
        <f>IF(N(I262)=0,"",ROUND(I262*J262,2))</f>
        <v/>
      </c>
      <c r="L262" s="27">
        <f>IF(N(I262)=0,"",IF(P262="SI",I262,I262+N(K262)))</f>
        <v/>
      </c>
      <c r="M262" s="23" t="n"/>
      <c r="N262" s="26" t="n"/>
      <c r="O262" s="27">
        <f>IF(N(I262)=0,"",ROUND(N(K262)*N(N262),2))</f>
        <v/>
      </c>
      <c r="P262" s="23" t="n"/>
      <c r="Q262" s="23" t="n"/>
      <c r="R262" s="23" t="n"/>
    </row>
    <row r="263">
      <c r="A263" s="23" t="n"/>
      <c r="B263" s="23" t="n"/>
      <c r="C263" s="24" t="n"/>
      <c r="D263" s="24" t="n"/>
      <c r="E263" s="23" t="n"/>
      <c r="F263" s="23" t="n"/>
      <c r="G263" s="23" t="n"/>
      <c r="H263" s="23" t="n"/>
      <c r="I263" s="25" t="n"/>
      <c r="J263" s="26" t="n"/>
      <c r="K263" s="27">
        <f>IF(N(I263)=0,"",ROUND(I263*J263,2))</f>
        <v/>
      </c>
      <c r="L263" s="27">
        <f>IF(N(I263)=0,"",IF(P263="SI",I263,I263+N(K263)))</f>
        <v/>
      </c>
      <c r="M263" s="23" t="n"/>
      <c r="N263" s="26" t="n"/>
      <c r="O263" s="27">
        <f>IF(N(I263)=0,"",ROUND(N(K263)*N(N263),2))</f>
        <v/>
      </c>
      <c r="P263" s="23" t="n"/>
      <c r="Q263" s="23" t="n"/>
      <c r="R263" s="23" t="n"/>
    </row>
    <row r="264">
      <c r="A264" s="23" t="n"/>
      <c r="B264" s="23" t="n"/>
      <c r="C264" s="24" t="n"/>
      <c r="D264" s="24" t="n"/>
      <c r="E264" s="23" t="n"/>
      <c r="F264" s="23" t="n"/>
      <c r="G264" s="23" t="n"/>
      <c r="H264" s="23" t="n"/>
      <c r="I264" s="25" t="n"/>
      <c r="J264" s="26" t="n"/>
      <c r="K264" s="27">
        <f>IF(N(I264)=0,"",ROUND(I264*J264,2))</f>
        <v/>
      </c>
      <c r="L264" s="27">
        <f>IF(N(I264)=0,"",IF(P264="SI",I264,I264+N(K264)))</f>
        <v/>
      </c>
      <c r="M264" s="23" t="n"/>
      <c r="N264" s="26" t="n"/>
      <c r="O264" s="27">
        <f>IF(N(I264)=0,"",ROUND(N(K264)*N(N264),2))</f>
        <v/>
      </c>
      <c r="P264" s="23" t="n"/>
      <c r="Q264" s="23" t="n"/>
      <c r="R264" s="23" t="n"/>
    </row>
    <row r="265">
      <c r="A265" s="23" t="n"/>
      <c r="B265" s="23" t="n"/>
      <c r="C265" s="24" t="n"/>
      <c r="D265" s="24" t="n"/>
      <c r="E265" s="23" t="n"/>
      <c r="F265" s="23" t="n"/>
      <c r="G265" s="23" t="n"/>
      <c r="H265" s="23" t="n"/>
      <c r="I265" s="25" t="n"/>
      <c r="J265" s="26" t="n"/>
      <c r="K265" s="27">
        <f>IF(N(I265)=0,"",ROUND(I265*J265,2))</f>
        <v/>
      </c>
      <c r="L265" s="27">
        <f>IF(N(I265)=0,"",IF(P265="SI",I265,I265+N(K265)))</f>
        <v/>
      </c>
      <c r="M265" s="23" t="n"/>
      <c r="N265" s="26" t="n"/>
      <c r="O265" s="27">
        <f>IF(N(I265)=0,"",ROUND(N(K265)*N(N265),2))</f>
        <v/>
      </c>
      <c r="P265" s="23" t="n"/>
      <c r="Q265" s="23" t="n"/>
      <c r="R265" s="23" t="n"/>
    </row>
    <row r="266">
      <c r="A266" s="23" t="n"/>
      <c r="B266" s="23" t="n"/>
      <c r="C266" s="24" t="n"/>
      <c r="D266" s="24" t="n"/>
      <c r="E266" s="23" t="n"/>
      <c r="F266" s="23" t="n"/>
      <c r="G266" s="23" t="n"/>
      <c r="H266" s="23" t="n"/>
      <c r="I266" s="25" t="n"/>
      <c r="J266" s="26" t="n"/>
      <c r="K266" s="27">
        <f>IF(N(I266)=0,"",ROUND(I266*J266,2))</f>
        <v/>
      </c>
      <c r="L266" s="27">
        <f>IF(N(I266)=0,"",IF(P266="SI",I266,I266+N(K266)))</f>
        <v/>
      </c>
      <c r="M266" s="23" t="n"/>
      <c r="N266" s="26" t="n"/>
      <c r="O266" s="27">
        <f>IF(N(I266)=0,"",ROUND(N(K266)*N(N266),2))</f>
        <v/>
      </c>
      <c r="P266" s="23" t="n"/>
      <c r="Q266" s="23" t="n"/>
      <c r="R266" s="23" t="n"/>
    </row>
    <row r="267">
      <c r="A267" s="23" t="n"/>
      <c r="B267" s="23" t="n"/>
      <c r="C267" s="24" t="n"/>
      <c r="D267" s="24" t="n"/>
      <c r="E267" s="23" t="n"/>
      <c r="F267" s="23" t="n"/>
      <c r="G267" s="23" t="n"/>
      <c r="H267" s="23" t="n"/>
      <c r="I267" s="25" t="n"/>
      <c r="J267" s="26" t="n"/>
      <c r="K267" s="27">
        <f>IF(N(I267)=0,"",ROUND(I267*J267,2))</f>
        <v/>
      </c>
      <c r="L267" s="27">
        <f>IF(N(I267)=0,"",IF(P267="SI",I267,I267+N(K267)))</f>
        <v/>
      </c>
      <c r="M267" s="23" t="n"/>
      <c r="N267" s="26" t="n"/>
      <c r="O267" s="27">
        <f>IF(N(I267)=0,"",ROUND(N(K267)*N(N267),2))</f>
        <v/>
      </c>
      <c r="P267" s="23" t="n"/>
      <c r="Q267" s="23" t="n"/>
      <c r="R267" s="23" t="n"/>
    </row>
    <row r="268">
      <c r="A268" s="23" t="n"/>
      <c r="B268" s="23" t="n"/>
      <c r="C268" s="24" t="n"/>
      <c r="D268" s="24" t="n"/>
      <c r="E268" s="23" t="n"/>
      <c r="F268" s="23" t="n"/>
      <c r="G268" s="23" t="n"/>
      <c r="H268" s="23" t="n"/>
      <c r="I268" s="25" t="n"/>
      <c r="J268" s="26" t="n"/>
      <c r="K268" s="27">
        <f>IF(N(I268)=0,"",ROUND(I268*J268,2))</f>
        <v/>
      </c>
      <c r="L268" s="27">
        <f>IF(N(I268)=0,"",IF(P268="SI",I268,I268+N(K268)))</f>
        <v/>
      </c>
      <c r="M268" s="23" t="n"/>
      <c r="N268" s="26" t="n"/>
      <c r="O268" s="27">
        <f>IF(N(I268)=0,"",ROUND(N(K268)*N(N268),2))</f>
        <v/>
      </c>
      <c r="P268" s="23" t="n"/>
      <c r="Q268" s="23" t="n"/>
      <c r="R268" s="23" t="n"/>
    </row>
    <row r="269">
      <c r="A269" s="23" t="n"/>
      <c r="B269" s="23" t="n"/>
      <c r="C269" s="24" t="n"/>
      <c r="D269" s="24" t="n"/>
      <c r="E269" s="23" t="n"/>
      <c r="F269" s="23" t="n"/>
      <c r="G269" s="23" t="n"/>
      <c r="H269" s="23" t="n"/>
      <c r="I269" s="25" t="n"/>
      <c r="J269" s="26" t="n"/>
      <c r="K269" s="27">
        <f>IF(N(I269)=0,"",ROUND(I269*J269,2))</f>
        <v/>
      </c>
      <c r="L269" s="27">
        <f>IF(N(I269)=0,"",IF(P269="SI",I269,I269+N(K269)))</f>
        <v/>
      </c>
      <c r="M269" s="23" t="n"/>
      <c r="N269" s="26" t="n"/>
      <c r="O269" s="27">
        <f>IF(N(I269)=0,"",ROUND(N(K269)*N(N269),2))</f>
        <v/>
      </c>
      <c r="P269" s="23" t="n"/>
      <c r="Q269" s="23" t="n"/>
      <c r="R269" s="23" t="n"/>
    </row>
    <row r="270">
      <c r="A270" s="23" t="n"/>
      <c r="B270" s="23" t="n"/>
      <c r="C270" s="24" t="n"/>
      <c r="D270" s="24" t="n"/>
      <c r="E270" s="23" t="n"/>
      <c r="F270" s="23" t="n"/>
      <c r="G270" s="23" t="n"/>
      <c r="H270" s="23" t="n"/>
      <c r="I270" s="25" t="n"/>
      <c r="J270" s="26" t="n"/>
      <c r="K270" s="27">
        <f>IF(N(I270)=0,"",ROUND(I270*J270,2))</f>
        <v/>
      </c>
      <c r="L270" s="27">
        <f>IF(N(I270)=0,"",IF(P270="SI",I270,I270+N(K270)))</f>
        <v/>
      </c>
      <c r="M270" s="23" t="n"/>
      <c r="N270" s="26" t="n"/>
      <c r="O270" s="27">
        <f>IF(N(I270)=0,"",ROUND(N(K270)*N(N270),2))</f>
        <v/>
      </c>
      <c r="P270" s="23" t="n"/>
      <c r="Q270" s="23" t="n"/>
      <c r="R270" s="23" t="n"/>
    </row>
    <row r="271">
      <c r="A271" s="23" t="n"/>
      <c r="B271" s="23" t="n"/>
      <c r="C271" s="24" t="n"/>
      <c r="D271" s="24" t="n"/>
      <c r="E271" s="23" t="n"/>
      <c r="F271" s="23" t="n"/>
      <c r="G271" s="23" t="n"/>
      <c r="H271" s="23" t="n"/>
      <c r="I271" s="25" t="n"/>
      <c r="J271" s="26" t="n"/>
      <c r="K271" s="27">
        <f>IF(N(I271)=0,"",ROUND(I271*J271,2))</f>
        <v/>
      </c>
      <c r="L271" s="27">
        <f>IF(N(I271)=0,"",IF(P271="SI",I271,I271+N(K271)))</f>
        <v/>
      </c>
      <c r="M271" s="23" t="n"/>
      <c r="N271" s="26" t="n"/>
      <c r="O271" s="27">
        <f>IF(N(I271)=0,"",ROUND(N(K271)*N(N271),2))</f>
        <v/>
      </c>
      <c r="P271" s="23" t="n"/>
      <c r="Q271" s="23" t="n"/>
      <c r="R271" s="23" t="n"/>
    </row>
    <row r="272">
      <c r="A272" s="23" t="n"/>
      <c r="B272" s="23" t="n"/>
      <c r="C272" s="24" t="n"/>
      <c r="D272" s="24" t="n"/>
      <c r="E272" s="23" t="n"/>
      <c r="F272" s="23" t="n"/>
      <c r="G272" s="23" t="n"/>
      <c r="H272" s="23" t="n"/>
      <c r="I272" s="25" t="n"/>
      <c r="J272" s="26" t="n"/>
      <c r="K272" s="27">
        <f>IF(N(I272)=0,"",ROUND(I272*J272,2))</f>
        <v/>
      </c>
      <c r="L272" s="27">
        <f>IF(N(I272)=0,"",IF(P272="SI",I272,I272+N(K272)))</f>
        <v/>
      </c>
      <c r="M272" s="23" t="n"/>
      <c r="N272" s="26" t="n"/>
      <c r="O272" s="27">
        <f>IF(N(I272)=0,"",ROUND(N(K272)*N(N272),2))</f>
        <v/>
      </c>
      <c r="P272" s="23" t="n"/>
      <c r="Q272" s="23" t="n"/>
      <c r="R272" s="23" t="n"/>
    </row>
    <row r="273">
      <c r="A273" s="23" t="n"/>
      <c r="B273" s="23" t="n"/>
      <c r="C273" s="24" t="n"/>
      <c r="D273" s="24" t="n"/>
      <c r="E273" s="23" t="n"/>
      <c r="F273" s="23" t="n"/>
      <c r="G273" s="23" t="n"/>
      <c r="H273" s="23" t="n"/>
      <c r="I273" s="25" t="n"/>
      <c r="J273" s="26" t="n"/>
      <c r="K273" s="27">
        <f>IF(N(I273)=0,"",ROUND(I273*J273,2))</f>
        <v/>
      </c>
      <c r="L273" s="27">
        <f>IF(N(I273)=0,"",IF(P273="SI",I273,I273+N(K273)))</f>
        <v/>
      </c>
      <c r="M273" s="23" t="n"/>
      <c r="N273" s="26" t="n"/>
      <c r="O273" s="27">
        <f>IF(N(I273)=0,"",ROUND(N(K273)*N(N273),2))</f>
        <v/>
      </c>
      <c r="P273" s="23" t="n"/>
      <c r="Q273" s="23" t="n"/>
      <c r="R273" s="23" t="n"/>
    </row>
    <row r="274">
      <c r="A274" s="23" t="n"/>
      <c r="B274" s="23" t="n"/>
      <c r="C274" s="24" t="n"/>
      <c r="D274" s="24" t="n"/>
      <c r="E274" s="23" t="n"/>
      <c r="F274" s="23" t="n"/>
      <c r="G274" s="23" t="n"/>
      <c r="H274" s="23" t="n"/>
      <c r="I274" s="25" t="n"/>
      <c r="J274" s="26" t="n"/>
      <c r="K274" s="27">
        <f>IF(N(I274)=0,"",ROUND(I274*J274,2))</f>
        <v/>
      </c>
      <c r="L274" s="27">
        <f>IF(N(I274)=0,"",IF(P274="SI",I274,I274+N(K274)))</f>
        <v/>
      </c>
      <c r="M274" s="23" t="n"/>
      <c r="N274" s="26" t="n"/>
      <c r="O274" s="27">
        <f>IF(N(I274)=0,"",ROUND(N(K274)*N(N274),2))</f>
        <v/>
      </c>
      <c r="P274" s="23" t="n"/>
      <c r="Q274" s="23" t="n"/>
      <c r="R274" s="23" t="n"/>
    </row>
    <row r="275">
      <c r="A275" s="23" t="n"/>
      <c r="B275" s="23" t="n"/>
      <c r="C275" s="24" t="n"/>
      <c r="D275" s="24" t="n"/>
      <c r="E275" s="23" t="n"/>
      <c r="F275" s="23" t="n"/>
      <c r="G275" s="23" t="n"/>
      <c r="H275" s="23" t="n"/>
      <c r="I275" s="25" t="n"/>
      <c r="J275" s="26" t="n"/>
      <c r="K275" s="27">
        <f>IF(N(I275)=0,"",ROUND(I275*J275,2))</f>
        <v/>
      </c>
      <c r="L275" s="27">
        <f>IF(N(I275)=0,"",IF(P275="SI",I275,I275+N(K275)))</f>
        <v/>
      </c>
      <c r="M275" s="23" t="n"/>
      <c r="N275" s="26" t="n"/>
      <c r="O275" s="27">
        <f>IF(N(I275)=0,"",ROUND(N(K275)*N(N275),2))</f>
        <v/>
      </c>
      <c r="P275" s="23" t="n"/>
      <c r="Q275" s="23" t="n"/>
      <c r="R275" s="23" t="n"/>
    </row>
    <row r="276">
      <c r="A276" s="23" t="n"/>
      <c r="B276" s="23" t="n"/>
      <c r="C276" s="24" t="n"/>
      <c r="D276" s="24" t="n"/>
      <c r="E276" s="23" t="n"/>
      <c r="F276" s="23" t="n"/>
      <c r="G276" s="23" t="n"/>
      <c r="H276" s="23" t="n"/>
      <c r="I276" s="25" t="n"/>
      <c r="J276" s="26" t="n"/>
      <c r="K276" s="27">
        <f>IF(N(I276)=0,"",ROUND(I276*J276,2))</f>
        <v/>
      </c>
      <c r="L276" s="27">
        <f>IF(N(I276)=0,"",IF(P276="SI",I276,I276+N(K276)))</f>
        <v/>
      </c>
      <c r="M276" s="23" t="n"/>
      <c r="N276" s="26" t="n"/>
      <c r="O276" s="27">
        <f>IF(N(I276)=0,"",ROUND(N(K276)*N(N276),2))</f>
        <v/>
      </c>
      <c r="P276" s="23" t="n"/>
      <c r="Q276" s="23" t="n"/>
      <c r="R276" s="23" t="n"/>
    </row>
    <row r="277">
      <c r="A277" s="23" t="n"/>
      <c r="B277" s="23" t="n"/>
      <c r="C277" s="24" t="n"/>
      <c r="D277" s="24" t="n"/>
      <c r="E277" s="23" t="n"/>
      <c r="F277" s="23" t="n"/>
      <c r="G277" s="23" t="n"/>
      <c r="H277" s="23" t="n"/>
      <c r="I277" s="25" t="n"/>
      <c r="J277" s="26" t="n"/>
      <c r="K277" s="27">
        <f>IF(N(I277)=0,"",ROUND(I277*J277,2))</f>
        <v/>
      </c>
      <c r="L277" s="27">
        <f>IF(N(I277)=0,"",IF(P277="SI",I277,I277+N(K277)))</f>
        <v/>
      </c>
      <c r="M277" s="23" t="n"/>
      <c r="N277" s="26" t="n"/>
      <c r="O277" s="27">
        <f>IF(N(I277)=0,"",ROUND(N(K277)*N(N277),2))</f>
        <v/>
      </c>
      <c r="P277" s="23" t="n"/>
      <c r="Q277" s="23" t="n"/>
      <c r="R277" s="23" t="n"/>
    </row>
    <row r="278">
      <c r="A278" s="23" t="n"/>
      <c r="B278" s="23" t="n"/>
      <c r="C278" s="24" t="n"/>
      <c r="D278" s="24" t="n"/>
      <c r="E278" s="23" t="n"/>
      <c r="F278" s="23" t="n"/>
      <c r="G278" s="23" t="n"/>
      <c r="H278" s="23" t="n"/>
      <c r="I278" s="25" t="n"/>
      <c r="J278" s="26" t="n"/>
      <c r="K278" s="27">
        <f>IF(N(I278)=0,"",ROUND(I278*J278,2))</f>
        <v/>
      </c>
      <c r="L278" s="27">
        <f>IF(N(I278)=0,"",IF(P278="SI",I278,I278+N(K278)))</f>
        <v/>
      </c>
      <c r="M278" s="23" t="n"/>
      <c r="N278" s="26" t="n"/>
      <c r="O278" s="27">
        <f>IF(N(I278)=0,"",ROUND(N(K278)*N(N278),2))</f>
        <v/>
      </c>
      <c r="P278" s="23" t="n"/>
      <c r="Q278" s="23" t="n"/>
      <c r="R278" s="23" t="n"/>
    </row>
    <row r="279">
      <c r="A279" s="23" t="n"/>
      <c r="B279" s="23" t="n"/>
      <c r="C279" s="24" t="n"/>
      <c r="D279" s="24" t="n"/>
      <c r="E279" s="23" t="n"/>
      <c r="F279" s="23" t="n"/>
      <c r="G279" s="23" t="n"/>
      <c r="H279" s="23" t="n"/>
      <c r="I279" s="25" t="n"/>
      <c r="J279" s="26" t="n"/>
      <c r="K279" s="27">
        <f>IF(N(I279)=0,"",ROUND(I279*J279,2))</f>
        <v/>
      </c>
      <c r="L279" s="27">
        <f>IF(N(I279)=0,"",IF(P279="SI",I279,I279+N(K279)))</f>
        <v/>
      </c>
      <c r="M279" s="23" t="n"/>
      <c r="N279" s="26" t="n"/>
      <c r="O279" s="27">
        <f>IF(N(I279)=0,"",ROUND(N(K279)*N(N279),2))</f>
        <v/>
      </c>
      <c r="P279" s="23" t="n"/>
      <c r="Q279" s="23" t="n"/>
      <c r="R279" s="23" t="n"/>
    </row>
    <row r="280">
      <c r="A280" s="23" t="n"/>
      <c r="B280" s="23" t="n"/>
      <c r="C280" s="24" t="n"/>
      <c r="D280" s="24" t="n"/>
      <c r="E280" s="23" t="n"/>
      <c r="F280" s="23" t="n"/>
      <c r="G280" s="23" t="n"/>
      <c r="H280" s="23" t="n"/>
      <c r="I280" s="25" t="n"/>
      <c r="J280" s="26" t="n"/>
      <c r="K280" s="27">
        <f>IF(N(I280)=0,"",ROUND(I280*J280,2))</f>
        <v/>
      </c>
      <c r="L280" s="27">
        <f>IF(N(I280)=0,"",IF(P280="SI",I280,I280+N(K280)))</f>
        <v/>
      </c>
      <c r="M280" s="23" t="n"/>
      <c r="N280" s="26" t="n"/>
      <c r="O280" s="27">
        <f>IF(N(I280)=0,"",ROUND(N(K280)*N(N280),2))</f>
        <v/>
      </c>
      <c r="P280" s="23" t="n"/>
      <c r="Q280" s="23" t="n"/>
      <c r="R280" s="23" t="n"/>
    </row>
    <row r="281">
      <c r="A281" s="23" t="n"/>
      <c r="B281" s="23" t="n"/>
      <c r="C281" s="24" t="n"/>
      <c r="D281" s="24" t="n"/>
      <c r="E281" s="23" t="n"/>
      <c r="F281" s="23" t="n"/>
      <c r="G281" s="23" t="n"/>
      <c r="H281" s="23" t="n"/>
      <c r="I281" s="25" t="n"/>
      <c r="J281" s="26" t="n"/>
      <c r="K281" s="27">
        <f>IF(N(I281)=0,"",ROUND(I281*J281,2))</f>
        <v/>
      </c>
      <c r="L281" s="27">
        <f>IF(N(I281)=0,"",IF(P281="SI",I281,I281+N(K281)))</f>
        <v/>
      </c>
      <c r="M281" s="23" t="n"/>
      <c r="N281" s="26" t="n"/>
      <c r="O281" s="27">
        <f>IF(N(I281)=0,"",ROUND(N(K281)*N(N281),2))</f>
        <v/>
      </c>
      <c r="P281" s="23" t="n"/>
      <c r="Q281" s="23" t="n"/>
      <c r="R281" s="23" t="n"/>
    </row>
    <row r="282">
      <c r="A282" s="23" t="n"/>
      <c r="B282" s="23" t="n"/>
      <c r="C282" s="24" t="n"/>
      <c r="D282" s="24" t="n"/>
      <c r="E282" s="23" t="n"/>
      <c r="F282" s="23" t="n"/>
      <c r="G282" s="23" t="n"/>
      <c r="H282" s="23" t="n"/>
      <c r="I282" s="25" t="n"/>
      <c r="J282" s="26" t="n"/>
      <c r="K282" s="27">
        <f>IF(N(I282)=0,"",ROUND(I282*J282,2))</f>
        <v/>
      </c>
      <c r="L282" s="27">
        <f>IF(N(I282)=0,"",IF(P282="SI",I282,I282+N(K282)))</f>
        <v/>
      </c>
      <c r="M282" s="23" t="n"/>
      <c r="N282" s="26" t="n"/>
      <c r="O282" s="27">
        <f>IF(N(I282)=0,"",ROUND(N(K282)*N(N282),2))</f>
        <v/>
      </c>
      <c r="P282" s="23" t="n"/>
      <c r="Q282" s="23" t="n"/>
      <c r="R282" s="23" t="n"/>
    </row>
    <row r="283">
      <c r="A283" s="23" t="n"/>
      <c r="B283" s="23" t="n"/>
      <c r="C283" s="24" t="n"/>
      <c r="D283" s="24" t="n"/>
      <c r="E283" s="23" t="n"/>
      <c r="F283" s="23" t="n"/>
      <c r="G283" s="23" t="n"/>
      <c r="H283" s="23" t="n"/>
      <c r="I283" s="25" t="n"/>
      <c r="J283" s="26" t="n"/>
      <c r="K283" s="27">
        <f>IF(N(I283)=0,"",ROUND(I283*J283,2))</f>
        <v/>
      </c>
      <c r="L283" s="27">
        <f>IF(N(I283)=0,"",IF(P283="SI",I283,I283+N(K283)))</f>
        <v/>
      </c>
      <c r="M283" s="23" t="n"/>
      <c r="N283" s="26" t="n"/>
      <c r="O283" s="27">
        <f>IF(N(I283)=0,"",ROUND(N(K283)*N(N283),2))</f>
        <v/>
      </c>
      <c r="P283" s="23" t="n"/>
      <c r="Q283" s="23" t="n"/>
      <c r="R283" s="23" t="n"/>
    </row>
    <row r="284">
      <c r="A284" s="23" t="n"/>
      <c r="B284" s="23" t="n"/>
      <c r="C284" s="24" t="n"/>
      <c r="D284" s="24" t="n"/>
      <c r="E284" s="23" t="n"/>
      <c r="F284" s="23" t="n"/>
      <c r="G284" s="23" t="n"/>
      <c r="H284" s="23" t="n"/>
      <c r="I284" s="25" t="n"/>
      <c r="J284" s="26" t="n"/>
      <c r="K284" s="27">
        <f>IF(N(I284)=0,"",ROUND(I284*J284,2))</f>
        <v/>
      </c>
      <c r="L284" s="27">
        <f>IF(N(I284)=0,"",IF(P284="SI",I284,I284+N(K284)))</f>
        <v/>
      </c>
      <c r="M284" s="23" t="n"/>
      <c r="N284" s="26" t="n"/>
      <c r="O284" s="27">
        <f>IF(N(I284)=0,"",ROUND(N(K284)*N(N284),2))</f>
        <v/>
      </c>
      <c r="P284" s="23" t="n"/>
      <c r="Q284" s="23" t="n"/>
      <c r="R284" s="23" t="n"/>
    </row>
    <row r="285">
      <c r="A285" s="23" t="n"/>
      <c r="B285" s="23" t="n"/>
      <c r="C285" s="24" t="n"/>
      <c r="D285" s="24" t="n"/>
      <c r="E285" s="23" t="n"/>
      <c r="F285" s="23" t="n"/>
      <c r="G285" s="23" t="n"/>
      <c r="H285" s="23" t="n"/>
      <c r="I285" s="25" t="n"/>
      <c r="J285" s="26" t="n"/>
      <c r="K285" s="27">
        <f>IF(N(I285)=0,"",ROUND(I285*J285,2))</f>
        <v/>
      </c>
      <c r="L285" s="27">
        <f>IF(N(I285)=0,"",IF(P285="SI",I285,I285+N(K285)))</f>
        <v/>
      </c>
      <c r="M285" s="23" t="n"/>
      <c r="N285" s="26" t="n"/>
      <c r="O285" s="27">
        <f>IF(N(I285)=0,"",ROUND(N(K285)*N(N285),2))</f>
        <v/>
      </c>
      <c r="P285" s="23" t="n"/>
      <c r="Q285" s="23" t="n"/>
      <c r="R285" s="23" t="n"/>
    </row>
    <row r="286">
      <c r="A286" s="23" t="n"/>
      <c r="B286" s="23" t="n"/>
      <c r="C286" s="24" t="n"/>
      <c r="D286" s="24" t="n"/>
      <c r="E286" s="23" t="n"/>
      <c r="F286" s="23" t="n"/>
      <c r="G286" s="23" t="n"/>
      <c r="H286" s="23" t="n"/>
      <c r="I286" s="25" t="n"/>
      <c r="J286" s="26" t="n"/>
      <c r="K286" s="27">
        <f>IF(N(I286)=0,"",ROUND(I286*J286,2))</f>
        <v/>
      </c>
      <c r="L286" s="27">
        <f>IF(N(I286)=0,"",IF(P286="SI",I286,I286+N(K286)))</f>
        <v/>
      </c>
      <c r="M286" s="23" t="n"/>
      <c r="N286" s="26" t="n"/>
      <c r="O286" s="27">
        <f>IF(N(I286)=0,"",ROUND(N(K286)*N(N286),2))</f>
        <v/>
      </c>
      <c r="P286" s="23" t="n"/>
      <c r="Q286" s="23" t="n"/>
      <c r="R286" s="23" t="n"/>
    </row>
    <row r="287">
      <c r="A287" s="23" t="n"/>
      <c r="B287" s="23" t="n"/>
      <c r="C287" s="24" t="n"/>
      <c r="D287" s="24" t="n"/>
      <c r="E287" s="23" t="n"/>
      <c r="F287" s="23" t="n"/>
      <c r="G287" s="23" t="n"/>
      <c r="H287" s="23" t="n"/>
      <c r="I287" s="25" t="n"/>
      <c r="J287" s="26" t="n"/>
      <c r="K287" s="27">
        <f>IF(N(I287)=0,"",ROUND(I287*J287,2))</f>
        <v/>
      </c>
      <c r="L287" s="27">
        <f>IF(N(I287)=0,"",IF(P287="SI",I287,I287+N(K287)))</f>
        <v/>
      </c>
      <c r="M287" s="23" t="n"/>
      <c r="N287" s="26" t="n"/>
      <c r="O287" s="27">
        <f>IF(N(I287)=0,"",ROUND(N(K287)*N(N287),2))</f>
        <v/>
      </c>
      <c r="P287" s="23" t="n"/>
      <c r="Q287" s="23" t="n"/>
      <c r="R287" s="23" t="n"/>
    </row>
    <row r="288">
      <c r="A288" s="23" t="n"/>
      <c r="B288" s="23" t="n"/>
      <c r="C288" s="24" t="n"/>
      <c r="D288" s="24" t="n"/>
      <c r="E288" s="23" t="n"/>
      <c r="F288" s="23" t="n"/>
      <c r="G288" s="23" t="n"/>
      <c r="H288" s="23" t="n"/>
      <c r="I288" s="25" t="n"/>
      <c r="J288" s="26" t="n"/>
      <c r="K288" s="27">
        <f>IF(N(I288)=0,"",ROUND(I288*J288,2))</f>
        <v/>
      </c>
      <c r="L288" s="27">
        <f>IF(N(I288)=0,"",IF(P288="SI",I288,I288+N(K288)))</f>
        <v/>
      </c>
      <c r="M288" s="23" t="n"/>
      <c r="N288" s="26" t="n"/>
      <c r="O288" s="27">
        <f>IF(N(I288)=0,"",ROUND(N(K288)*N(N288),2))</f>
        <v/>
      </c>
      <c r="P288" s="23" t="n"/>
      <c r="Q288" s="23" t="n"/>
      <c r="R288" s="23" t="n"/>
    </row>
    <row r="289">
      <c r="A289" s="23" t="n"/>
      <c r="B289" s="23" t="n"/>
      <c r="C289" s="24" t="n"/>
      <c r="D289" s="24" t="n"/>
      <c r="E289" s="23" t="n"/>
      <c r="F289" s="23" t="n"/>
      <c r="G289" s="23" t="n"/>
      <c r="H289" s="23" t="n"/>
      <c r="I289" s="25" t="n"/>
      <c r="J289" s="26" t="n"/>
      <c r="K289" s="27">
        <f>IF(N(I289)=0,"",ROUND(I289*J289,2))</f>
        <v/>
      </c>
      <c r="L289" s="27">
        <f>IF(N(I289)=0,"",IF(P289="SI",I289,I289+N(K289)))</f>
        <v/>
      </c>
      <c r="M289" s="23" t="n"/>
      <c r="N289" s="26" t="n"/>
      <c r="O289" s="27">
        <f>IF(N(I289)=0,"",ROUND(N(K289)*N(N289),2))</f>
        <v/>
      </c>
      <c r="P289" s="23" t="n"/>
      <c r="Q289" s="23" t="n"/>
      <c r="R289" s="23" t="n"/>
    </row>
    <row r="290">
      <c r="A290" s="23" t="n"/>
      <c r="B290" s="23" t="n"/>
      <c r="C290" s="24" t="n"/>
      <c r="D290" s="24" t="n"/>
      <c r="E290" s="23" t="n"/>
      <c r="F290" s="23" t="n"/>
      <c r="G290" s="23" t="n"/>
      <c r="H290" s="23" t="n"/>
      <c r="I290" s="25" t="n"/>
      <c r="J290" s="26" t="n"/>
      <c r="K290" s="27">
        <f>IF(N(I290)=0,"",ROUND(I290*J290,2))</f>
        <v/>
      </c>
      <c r="L290" s="27">
        <f>IF(N(I290)=0,"",IF(P290="SI",I290,I290+N(K290)))</f>
        <v/>
      </c>
      <c r="M290" s="23" t="n"/>
      <c r="N290" s="26" t="n"/>
      <c r="O290" s="27">
        <f>IF(N(I290)=0,"",ROUND(N(K290)*N(N290),2))</f>
        <v/>
      </c>
      <c r="P290" s="23" t="n"/>
      <c r="Q290" s="23" t="n"/>
      <c r="R290" s="23" t="n"/>
    </row>
    <row r="291">
      <c r="A291" s="23" t="n"/>
      <c r="B291" s="23" t="n"/>
      <c r="C291" s="24" t="n"/>
      <c r="D291" s="24" t="n"/>
      <c r="E291" s="23" t="n"/>
      <c r="F291" s="23" t="n"/>
      <c r="G291" s="23" t="n"/>
      <c r="H291" s="23" t="n"/>
      <c r="I291" s="25" t="n"/>
      <c r="J291" s="26" t="n"/>
      <c r="K291" s="27">
        <f>IF(N(I291)=0,"",ROUND(I291*J291,2))</f>
        <v/>
      </c>
      <c r="L291" s="27">
        <f>IF(N(I291)=0,"",IF(P291="SI",I291,I291+N(K291)))</f>
        <v/>
      </c>
      <c r="M291" s="23" t="n"/>
      <c r="N291" s="26" t="n"/>
      <c r="O291" s="27">
        <f>IF(N(I291)=0,"",ROUND(N(K291)*N(N291),2))</f>
        <v/>
      </c>
      <c r="P291" s="23" t="n"/>
      <c r="Q291" s="23" t="n"/>
      <c r="R291" s="23" t="n"/>
    </row>
    <row r="292">
      <c r="A292" s="23" t="n"/>
      <c r="B292" s="23" t="n"/>
      <c r="C292" s="24" t="n"/>
      <c r="D292" s="24" t="n"/>
      <c r="E292" s="23" t="n"/>
      <c r="F292" s="23" t="n"/>
      <c r="G292" s="23" t="n"/>
      <c r="H292" s="23" t="n"/>
      <c r="I292" s="25" t="n"/>
      <c r="J292" s="26" t="n"/>
      <c r="K292" s="27">
        <f>IF(N(I292)=0,"",ROUND(I292*J292,2))</f>
        <v/>
      </c>
      <c r="L292" s="27">
        <f>IF(N(I292)=0,"",IF(P292="SI",I292,I292+N(K292)))</f>
        <v/>
      </c>
      <c r="M292" s="23" t="n"/>
      <c r="N292" s="26" t="n"/>
      <c r="O292" s="27">
        <f>IF(N(I292)=0,"",ROUND(N(K292)*N(N292),2))</f>
        <v/>
      </c>
      <c r="P292" s="23" t="n"/>
      <c r="Q292" s="23" t="n"/>
      <c r="R292" s="23" t="n"/>
    </row>
    <row r="293">
      <c r="A293" s="23" t="n"/>
      <c r="B293" s="23" t="n"/>
      <c r="C293" s="24" t="n"/>
      <c r="D293" s="24" t="n"/>
      <c r="E293" s="23" t="n"/>
      <c r="F293" s="23" t="n"/>
      <c r="G293" s="23" t="n"/>
      <c r="H293" s="23" t="n"/>
      <c r="I293" s="25" t="n"/>
      <c r="J293" s="26" t="n"/>
      <c r="K293" s="27">
        <f>IF(N(I293)=0,"",ROUND(I293*J293,2))</f>
        <v/>
      </c>
      <c r="L293" s="27">
        <f>IF(N(I293)=0,"",IF(P293="SI",I293,I293+N(K293)))</f>
        <v/>
      </c>
      <c r="M293" s="23" t="n"/>
      <c r="N293" s="26" t="n"/>
      <c r="O293" s="27">
        <f>IF(N(I293)=0,"",ROUND(N(K293)*N(N293),2))</f>
        <v/>
      </c>
      <c r="P293" s="23" t="n"/>
      <c r="Q293" s="23" t="n"/>
      <c r="R293" s="23" t="n"/>
    </row>
    <row r="294">
      <c r="A294" s="23" t="n"/>
      <c r="B294" s="23" t="n"/>
      <c r="C294" s="24" t="n"/>
      <c r="D294" s="24" t="n"/>
      <c r="E294" s="23" t="n"/>
      <c r="F294" s="23" t="n"/>
      <c r="G294" s="23" t="n"/>
      <c r="H294" s="23" t="n"/>
      <c r="I294" s="25" t="n"/>
      <c r="J294" s="26" t="n"/>
      <c r="K294" s="27">
        <f>IF(N(I294)=0,"",ROUND(I294*J294,2))</f>
        <v/>
      </c>
      <c r="L294" s="27">
        <f>IF(N(I294)=0,"",IF(P294="SI",I294,I294+N(K294)))</f>
        <v/>
      </c>
      <c r="M294" s="23" t="n"/>
      <c r="N294" s="26" t="n"/>
      <c r="O294" s="27">
        <f>IF(N(I294)=0,"",ROUND(N(K294)*N(N294),2))</f>
        <v/>
      </c>
      <c r="P294" s="23" t="n"/>
      <c r="Q294" s="23" t="n"/>
      <c r="R294" s="23" t="n"/>
    </row>
    <row r="295">
      <c r="A295" s="23" t="n"/>
      <c r="B295" s="23" t="n"/>
      <c r="C295" s="24" t="n"/>
      <c r="D295" s="24" t="n"/>
      <c r="E295" s="23" t="n"/>
      <c r="F295" s="23" t="n"/>
      <c r="G295" s="23" t="n"/>
      <c r="H295" s="23" t="n"/>
      <c r="I295" s="25" t="n"/>
      <c r="J295" s="26" t="n"/>
      <c r="K295" s="27">
        <f>IF(N(I295)=0,"",ROUND(I295*J295,2))</f>
        <v/>
      </c>
      <c r="L295" s="27">
        <f>IF(N(I295)=0,"",IF(P295="SI",I295,I295+N(K295)))</f>
        <v/>
      </c>
      <c r="M295" s="23" t="n"/>
      <c r="N295" s="26" t="n"/>
      <c r="O295" s="27">
        <f>IF(N(I295)=0,"",ROUND(N(K295)*N(N295),2))</f>
        <v/>
      </c>
      <c r="P295" s="23" t="n"/>
      <c r="Q295" s="23" t="n"/>
      <c r="R295" s="23" t="n"/>
    </row>
    <row r="296">
      <c r="A296" s="23" t="n"/>
      <c r="B296" s="23" t="n"/>
      <c r="C296" s="24" t="n"/>
      <c r="D296" s="24" t="n"/>
      <c r="E296" s="23" t="n"/>
      <c r="F296" s="23" t="n"/>
      <c r="G296" s="23" t="n"/>
      <c r="H296" s="23" t="n"/>
      <c r="I296" s="25" t="n"/>
      <c r="J296" s="26" t="n"/>
      <c r="K296" s="27">
        <f>IF(N(I296)=0,"",ROUND(I296*J296,2))</f>
        <v/>
      </c>
      <c r="L296" s="27">
        <f>IF(N(I296)=0,"",IF(P296="SI",I296,I296+N(K296)))</f>
        <v/>
      </c>
      <c r="M296" s="23" t="n"/>
      <c r="N296" s="26" t="n"/>
      <c r="O296" s="27">
        <f>IF(N(I296)=0,"",ROUND(N(K296)*N(N296),2))</f>
        <v/>
      </c>
      <c r="P296" s="23" t="n"/>
      <c r="Q296" s="23" t="n"/>
      <c r="R296" s="23" t="n"/>
    </row>
    <row r="297">
      <c r="A297" s="23" t="n"/>
      <c r="B297" s="23" t="n"/>
      <c r="C297" s="24" t="n"/>
      <c r="D297" s="24" t="n"/>
      <c r="E297" s="23" t="n"/>
      <c r="F297" s="23" t="n"/>
      <c r="G297" s="23" t="n"/>
      <c r="H297" s="23" t="n"/>
      <c r="I297" s="25" t="n"/>
      <c r="J297" s="26" t="n"/>
      <c r="K297" s="27">
        <f>IF(N(I297)=0,"",ROUND(I297*J297,2))</f>
        <v/>
      </c>
      <c r="L297" s="27">
        <f>IF(N(I297)=0,"",IF(P297="SI",I297,I297+N(K297)))</f>
        <v/>
      </c>
      <c r="M297" s="23" t="n"/>
      <c r="N297" s="26" t="n"/>
      <c r="O297" s="27">
        <f>IF(N(I297)=0,"",ROUND(N(K297)*N(N297),2))</f>
        <v/>
      </c>
      <c r="P297" s="23" t="n"/>
      <c r="Q297" s="23" t="n"/>
      <c r="R297" s="23" t="n"/>
    </row>
    <row r="298">
      <c r="A298" s="23" t="n"/>
      <c r="B298" s="23" t="n"/>
      <c r="C298" s="24" t="n"/>
      <c r="D298" s="24" t="n"/>
      <c r="E298" s="23" t="n"/>
      <c r="F298" s="23" t="n"/>
      <c r="G298" s="23" t="n"/>
      <c r="H298" s="23" t="n"/>
      <c r="I298" s="25" t="n"/>
      <c r="J298" s="26" t="n"/>
      <c r="K298" s="27">
        <f>IF(N(I298)=0,"",ROUND(I298*J298,2))</f>
        <v/>
      </c>
      <c r="L298" s="27">
        <f>IF(N(I298)=0,"",IF(P298="SI",I298,I298+N(K298)))</f>
        <v/>
      </c>
      <c r="M298" s="23" t="n"/>
      <c r="N298" s="26" t="n"/>
      <c r="O298" s="27">
        <f>IF(N(I298)=0,"",ROUND(N(K298)*N(N298),2))</f>
        <v/>
      </c>
      <c r="P298" s="23" t="n"/>
      <c r="Q298" s="23" t="n"/>
      <c r="R298" s="23" t="n"/>
    </row>
    <row r="299">
      <c r="A299" s="23" t="n"/>
      <c r="B299" s="23" t="n"/>
      <c r="C299" s="24" t="n"/>
      <c r="D299" s="24" t="n"/>
      <c r="E299" s="23" t="n"/>
      <c r="F299" s="23" t="n"/>
      <c r="G299" s="23" t="n"/>
      <c r="H299" s="23" t="n"/>
      <c r="I299" s="25" t="n"/>
      <c r="J299" s="26" t="n"/>
      <c r="K299" s="27">
        <f>IF(N(I299)=0,"",ROUND(I299*J299,2))</f>
        <v/>
      </c>
      <c r="L299" s="27">
        <f>IF(N(I299)=0,"",IF(P299="SI",I299,I299+N(K299)))</f>
        <v/>
      </c>
      <c r="M299" s="23" t="n"/>
      <c r="N299" s="26" t="n"/>
      <c r="O299" s="27">
        <f>IF(N(I299)=0,"",ROUND(N(K299)*N(N299),2))</f>
        <v/>
      </c>
      <c r="P299" s="23" t="n"/>
      <c r="Q299" s="23" t="n"/>
      <c r="R299" s="23" t="n"/>
    </row>
    <row r="300">
      <c r="A300" s="23" t="n"/>
      <c r="B300" s="23" t="n"/>
      <c r="C300" s="24" t="n"/>
      <c r="D300" s="24" t="n"/>
      <c r="E300" s="23" t="n"/>
      <c r="F300" s="23" t="n"/>
      <c r="G300" s="23" t="n"/>
      <c r="H300" s="23" t="n"/>
      <c r="I300" s="25" t="n"/>
      <c r="J300" s="26" t="n"/>
      <c r="K300" s="27">
        <f>IF(N(I300)=0,"",ROUND(I300*J300,2))</f>
        <v/>
      </c>
      <c r="L300" s="27">
        <f>IF(N(I300)=0,"",IF(P300="SI",I300,I300+N(K300)))</f>
        <v/>
      </c>
      <c r="M300" s="23" t="n"/>
      <c r="N300" s="26" t="n"/>
      <c r="O300" s="27">
        <f>IF(N(I300)=0,"",ROUND(N(K300)*N(N300),2))</f>
        <v/>
      </c>
      <c r="P300" s="23" t="n"/>
      <c r="Q300" s="23" t="n"/>
      <c r="R300" s="23" t="n"/>
    </row>
    <row r="301">
      <c r="A301" s="23" t="n"/>
      <c r="B301" s="23" t="n"/>
      <c r="C301" s="24" t="n"/>
      <c r="D301" s="24" t="n"/>
      <c r="E301" s="23" t="n"/>
      <c r="F301" s="23" t="n"/>
      <c r="G301" s="23" t="n"/>
      <c r="H301" s="23" t="n"/>
      <c r="I301" s="25" t="n"/>
      <c r="J301" s="26" t="n"/>
      <c r="K301" s="27">
        <f>IF(N(I301)=0,"",ROUND(I301*J301,2))</f>
        <v/>
      </c>
      <c r="L301" s="27">
        <f>IF(N(I301)=0,"",IF(P301="SI",I301,I301+N(K301)))</f>
        <v/>
      </c>
      <c r="M301" s="23" t="n"/>
      <c r="N301" s="26" t="n"/>
      <c r="O301" s="27">
        <f>IF(N(I301)=0,"",ROUND(N(K301)*N(N301),2))</f>
        <v/>
      </c>
      <c r="P301" s="23" t="n"/>
      <c r="Q301" s="23" t="n"/>
      <c r="R301" s="23" t="n"/>
    </row>
    <row r="302">
      <c r="A302" s="23" t="n"/>
      <c r="B302" s="23" t="n"/>
      <c r="C302" s="24" t="n"/>
      <c r="D302" s="24" t="n"/>
      <c r="E302" s="23" t="n"/>
      <c r="F302" s="23" t="n"/>
      <c r="G302" s="23" t="n"/>
      <c r="H302" s="23" t="n"/>
      <c r="I302" s="25" t="n"/>
      <c r="J302" s="26" t="n"/>
      <c r="K302" s="27">
        <f>IF(N(I302)=0,"",ROUND(I302*J302,2))</f>
        <v/>
      </c>
      <c r="L302" s="27">
        <f>IF(N(I302)=0,"",IF(P302="SI",I302,I302+N(K302)))</f>
        <v/>
      </c>
      <c r="M302" s="23" t="n"/>
      <c r="N302" s="26" t="n"/>
      <c r="O302" s="27">
        <f>IF(N(I302)=0,"",ROUND(N(K302)*N(N302),2))</f>
        <v/>
      </c>
      <c r="P302" s="23" t="n"/>
      <c r="Q302" s="23" t="n"/>
      <c r="R302" s="23" t="n"/>
    </row>
    <row r="303">
      <c r="A303" s="23" t="n"/>
      <c r="B303" s="23" t="n"/>
      <c r="C303" s="24" t="n"/>
      <c r="D303" s="24" t="n"/>
      <c r="E303" s="23" t="n"/>
      <c r="F303" s="23" t="n"/>
      <c r="G303" s="23" t="n"/>
      <c r="H303" s="23" t="n"/>
      <c r="I303" s="25" t="n"/>
      <c r="J303" s="26" t="n"/>
      <c r="K303" s="27">
        <f>IF(N(I303)=0,"",ROUND(I303*J303,2))</f>
        <v/>
      </c>
      <c r="L303" s="27">
        <f>IF(N(I303)=0,"",IF(P303="SI",I303,I303+N(K303)))</f>
        <v/>
      </c>
      <c r="M303" s="23" t="n"/>
      <c r="N303" s="26" t="n"/>
      <c r="O303" s="27">
        <f>IF(N(I303)=0,"",ROUND(N(K303)*N(N303),2))</f>
        <v/>
      </c>
      <c r="P303" s="23" t="n"/>
      <c r="Q303" s="23" t="n"/>
      <c r="R303" s="23" t="n"/>
    </row>
    <row r="304">
      <c r="A304" s="23" t="n"/>
      <c r="B304" s="23" t="n"/>
      <c r="C304" s="24" t="n"/>
      <c r="D304" s="24" t="n"/>
      <c r="E304" s="23" t="n"/>
      <c r="F304" s="23" t="n"/>
      <c r="G304" s="23" t="n"/>
      <c r="H304" s="23" t="n"/>
      <c r="I304" s="25" t="n"/>
      <c r="J304" s="26" t="n"/>
      <c r="K304" s="27">
        <f>IF(N(I304)=0,"",ROUND(I304*J304,2))</f>
        <v/>
      </c>
      <c r="L304" s="27">
        <f>IF(N(I304)=0,"",IF(P304="SI",I304,I304+N(K304)))</f>
        <v/>
      </c>
      <c r="M304" s="23" t="n"/>
      <c r="N304" s="26" t="n"/>
      <c r="O304" s="27">
        <f>IF(N(I304)=0,"",ROUND(N(K304)*N(N304),2))</f>
        <v/>
      </c>
      <c r="P304" s="23" t="n"/>
      <c r="Q304" s="23" t="n"/>
      <c r="R304" s="23" t="n"/>
    </row>
    <row r="305">
      <c r="A305" s="23" t="n"/>
      <c r="B305" s="23" t="n"/>
      <c r="C305" s="24" t="n"/>
      <c r="D305" s="24" t="n"/>
      <c r="E305" s="23" t="n"/>
      <c r="F305" s="23" t="n"/>
      <c r="G305" s="23" t="n"/>
      <c r="H305" s="23" t="n"/>
      <c r="I305" s="25" t="n"/>
      <c r="J305" s="26" t="n"/>
      <c r="K305" s="27">
        <f>IF(N(I305)=0,"",ROUND(I305*J305,2))</f>
        <v/>
      </c>
      <c r="L305" s="27">
        <f>IF(N(I305)=0,"",IF(P305="SI",I305,I305+N(K305)))</f>
        <v/>
      </c>
      <c r="M305" s="23" t="n"/>
      <c r="N305" s="26" t="n"/>
      <c r="O305" s="27">
        <f>IF(N(I305)=0,"",ROUND(N(K305)*N(N305),2))</f>
        <v/>
      </c>
      <c r="P305" s="23" t="n"/>
      <c r="Q305" s="23" t="n"/>
      <c r="R305" s="23" t="n"/>
    </row>
    <row r="306">
      <c r="A306" s="23" t="n"/>
      <c r="B306" s="23" t="n"/>
      <c r="C306" s="24" t="n"/>
      <c r="D306" s="24" t="n"/>
      <c r="E306" s="23" t="n"/>
      <c r="F306" s="23" t="n"/>
      <c r="G306" s="23" t="n"/>
      <c r="H306" s="23" t="n"/>
      <c r="I306" s="25" t="n"/>
      <c r="J306" s="26" t="n"/>
      <c r="K306" s="27">
        <f>IF(N(I306)=0,"",ROUND(I306*J306,2))</f>
        <v/>
      </c>
      <c r="L306" s="27">
        <f>IF(N(I306)=0,"",IF(P306="SI",I306,I306+N(K306)))</f>
        <v/>
      </c>
      <c r="M306" s="23" t="n"/>
      <c r="N306" s="26" t="n"/>
      <c r="O306" s="27">
        <f>IF(N(I306)=0,"",ROUND(N(K306)*N(N306),2))</f>
        <v/>
      </c>
      <c r="P306" s="23" t="n"/>
      <c r="Q306" s="23" t="n"/>
      <c r="R306" s="23" t="n"/>
    </row>
    <row r="307">
      <c r="A307" s="23" t="n"/>
      <c r="B307" s="23" t="n"/>
      <c r="C307" s="24" t="n"/>
      <c r="D307" s="24" t="n"/>
      <c r="E307" s="23" t="n"/>
      <c r="F307" s="23" t="n"/>
      <c r="G307" s="23" t="n"/>
      <c r="H307" s="23" t="n"/>
      <c r="I307" s="25" t="n"/>
      <c r="J307" s="26" t="n"/>
      <c r="K307" s="27">
        <f>IF(N(I307)=0,"",ROUND(I307*J307,2))</f>
        <v/>
      </c>
      <c r="L307" s="27">
        <f>IF(N(I307)=0,"",IF(P307="SI",I307,I307+N(K307)))</f>
        <v/>
      </c>
      <c r="M307" s="23" t="n"/>
      <c r="N307" s="26" t="n"/>
      <c r="O307" s="27">
        <f>IF(N(I307)=0,"",ROUND(N(K307)*N(N307),2))</f>
        <v/>
      </c>
      <c r="P307" s="23" t="n"/>
      <c r="Q307" s="23" t="n"/>
      <c r="R307" s="23" t="n"/>
    </row>
    <row r="308">
      <c r="A308" s="23" t="n"/>
      <c r="B308" s="23" t="n"/>
      <c r="C308" s="24" t="n"/>
      <c r="D308" s="24" t="n"/>
      <c r="E308" s="23" t="n"/>
      <c r="F308" s="23" t="n"/>
      <c r="G308" s="23" t="n"/>
      <c r="H308" s="23" t="n"/>
      <c r="I308" s="25" t="n"/>
      <c r="J308" s="26" t="n"/>
      <c r="K308" s="27">
        <f>IF(N(I308)=0,"",ROUND(I308*J308,2))</f>
        <v/>
      </c>
      <c r="L308" s="27">
        <f>IF(N(I308)=0,"",IF(P308="SI",I308,I308+N(K308)))</f>
        <v/>
      </c>
      <c r="M308" s="23" t="n"/>
      <c r="N308" s="26" t="n"/>
      <c r="O308" s="27">
        <f>IF(N(I308)=0,"",ROUND(N(K308)*N(N308),2))</f>
        <v/>
      </c>
      <c r="P308" s="23" t="n"/>
      <c r="Q308" s="23" t="n"/>
      <c r="R308" s="23" t="n"/>
    </row>
    <row r="309">
      <c r="A309" s="23" t="n"/>
      <c r="B309" s="23" t="n"/>
      <c r="C309" s="24" t="n"/>
      <c r="D309" s="24" t="n"/>
      <c r="E309" s="23" t="n"/>
      <c r="F309" s="23" t="n"/>
      <c r="G309" s="23" t="n"/>
      <c r="H309" s="23" t="n"/>
      <c r="I309" s="25" t="n"/>
      <c r="J309" s="26" t="n"/>
      <c r="K309" s="27">
        <f>IF(N(I309)=0,"",ROUND(I309*J309,2))</f>
        <v/>
      </c>
      <c r="L309" s="27">
        <f>IF(N(I309)=0,"",IF(P309="SI",I309,I309+N(K309)))</f>
        <v/>
      </c>
      <c r="M309" s="23" t="n"/>
      <c r="N309" s="26" t="n"/>
      <c r="O309" s="27">
        <f>IF(N(I309)=0,"",ROUND(N(K309)*N(N309),2))</f>
        <v/>
      </c>
      <c r="P309" s="23" t="n"/>
      <c r="Q309" s="23" t="n"/>
      <c r="R309" s="23" t="n"/>
    </row>
    <row r="310">
      <c r="A310" s="23" t="n"/>
      <c r="B310" s="23" t="n"/>
      <c r="C310" s="24" t="n"/>
      <c r="D310" s="24" t="n"/>
      <c r="E310" s="23" t="n"/>
      <c r="F310" s="23" t="n"/>
      <c r="G310" s="23" t="n"/>
      <c r="H310" s="23" t="n"/>
      <c r="I310" s="25" t="n"/>
      <c r="J310" s="26" t="n"/>
      <c r="K310" s="27">
        <f>IF(N(I310)=0,"",ROUND(I310*J310,2))</f>
        <v/>
      </c>
      <c r="L310" s="27">
        <f>IF(N(I310)=0,"",IF(P310="SI",I310,I310+N(K310)))</f>
        <v/>
      </c>
      <c r="M310" s="23" t="n"/>
      <c r="N310" s="26" t="n"/>
      <c r="O310" s="27">
        <f>IF(N(I310)=0,"",ROUND(N(K310)*N(N310),2))</f>
        <v/>
      </c>
      <c r="P310" s="23" t="n"/>
      <c r="Q310" s="23" t="n"/>
      <c r="R310" s="23" t="n"/>
    </row>
    <row r="311">
      <c r="A311" s="23" t="n"/>
      <c r="B311" s="23" t="n"/>
      <c r="C311" s="24" t="n"/>
      <c r="D311" s="24" t="n"/>
      <c r="E311" s="23" t="n"/>
      <c r="F311" s="23" t="n"/>
      <c r="G311" s="23" t="n"/>
      <c r="H311" s="23" t="n"/>
      <c r="I311" s="25" t="n"/>
      <c r="J311" s="26" t="n"/>
      <c r="K311" s="27">
        <f>IF(N(I311)=0,"",ROUND(I311*J311,2))</f>
        <v/>
      </c>
      <c r="L311" s="27">
        <f>IF(N(I311)=0,"",IF(P311="SI",I311,I311+N(K311)))</f>
        <v/>
      </c>
      <c r="M311" s="23" t="n"/>
      <c r="N311" s="26" t="n"/>
      <c r="O311" s="27">
        <f>IF(N(I311)=0,"",ROUND(N(K311)*N(N311),2))</f>
        <v/>
      </c>
      <c r="P311" s="23" t="n"/>
      <c r="Q311" s="23" t="n"/>
      <c r="R311" s="23" t="n"/>
    </row>
    <row r="312">
      <c r="A312" s="23" t="n"/>
      <c r="B312" s="23" t="n"/>
      <c r="C312" s="24" t="n"/>
      <c r="D312" s="24" t="n"/>
      <c r="E312" s="23" t="n"/>
      <c r="F312" s="23" t="n"/>
      <c r="G312" s="23" t="n"/>
      <c r="H312" s="23" t="n"/>
      <c r="I312" s="25" t="n"/>
      <c r="J312" s="26" t="n"/>
      <c r="K312" s="27">
        <f>IF(N(I312)=0,"",ROUND(I312*J312,2))</f>
        <v/>
      </c>
      <c r="L312" s="27">
        <f>IF(N(I312)=0,"",IF(P312="SI",I312,I312+N(K312)))</f>
        <v/>
      </c>
      <c r="M312" s="23" t="n"/>
      <c r="N312" s="26" t="n"/>
      <c r="O312" s="27">
        <f>IF(N(I312)=0,"",ROUND(N(K312)*N(N312),2))</f>
        <v/>
      </c>
      <c r="P312" s="23" t="n"/>
      <c r="Q312" s="23" t="n"/>
      <c r="R312" s="23" t="n"/>
    </row>
    <row r="313">
      <c r="A313" s="23" t="n"/>
      <c r="B313" s="23" t="n"/>
      <c r="C313" s="24" t="n"/>
      <c r="D313" s="24" t="n"/>
      <c r="E313" s="23" t="n"/>
      <c r="F313" s="23" t="n"/>
      <c r="G313" s="23" t="n"/>
      <c r="H313" s="23" t="n"/>
      <c r="I313" s="25" t="n"/>
      <c r="J313" s="26" t="n"/>
      <c r="K313" s="27">
        <f>IF(N(I313)=0,"",ROUND(I313*J313,2))</f>
        <v/>
      </c>
      <c r="L313" s="27">
        <f>IF(N(I313)=0,"",IF(P313="SI",I313,I313+N(K313)))</f>
        <v/>
      </c>
      <c r="M313" s="23" t="n"/>
      <c r="N313" s="26" t="n"/>
      <c r="O313" s="27">
        <f>IF(N(I313)=0,"",ROUND(N(K313)*N(N313),2))</f>
        <v/>
      </c>
      <c r="P313" s="23" t="n"/>
      <c r="Q313" s="23" t="n"/>
      <c r="R313" s="23" t="n"/>
    </row>
    <row r="314">
      <c r="A314" s="23" t="n"/>
      <c r="B314" s="23" t="n"/>
      <c r="C314" s="24" t="n"/>
      <c r="D314" s="24" t="n"/>
      <c r="E314" s="23" t="n"/>
      <c r="F314" s="23" t="n"/>
      <c r="G314" s="23" t="n"/>
      <c r="H314" s="23" t="n"/>
      <c r="I314" s="25" t="n"/>
      <c r="J314" s="26" t="n"/>
      <c r="K314" s="27">
        <f>IF(N(I314)=0,"",ROUND(I314*J314,2))</f>
        <v/>
      </c>
      <c r="L314" s="27">
        <f>IF(N(I314)=0,"",IF(P314="SI",I314,I314+N(K314)))</f>
        <v/>
      </c>
      <c r="M314" s="23" t="n"/>
      <c r="N314" s="26" t="n"/>
      <c r="O314" s="27">
        <f>IF(N(I314)=0,"",ROUND(N(K314)*N(N314),2))</f>
        <v/>
      </c>
      <c r="P314" s="23" t="n"/>
      <c r="Q314" s="23" t="n"/>
      <c r="R314" s="23" t="n"/>
    </row>
    <row r="315">
      <c r="A315" s="23" t="n"/>
      <c r="B315" s="23" t="n"/>
      <c r="C315" s="24" t="n"/>
      <c r="D315" s="24" t="n"/>
      <c r="E315" s="23" t="n"/>
      <c r="F315" s="23" t="n"/>
      <c r="G315" s="23" t="n"/>
      <c r="H315" s="23" t="n"/>
      <c r="I315" s="25" t="n"/>
      <c r="J315" s="26" t="n"/>
      <c r="K315" s="27">
        <f>IF(N(I315)=0,"",ROUND(I315*J315,2))</f>
        <v/>
      </c>
      <c r="L315" s="27">
        <f>IF(N(I315)=0,"",IF(P315="SI",I315,I315+N(K315)))</f>
        <v/>
      </c>
      <c r="M315" s="23" t="n"/>
      <c r="N315" s="26" t="n"/>
      <c r="O315" s="27">
        <f>IF(N(I315)=0,"",ROUND(N(K315)*N(N315),2))</f>
        <v/>
      </c>
      <c r="P315" s="23" t="n"/>
      <c r="Q315" s="23" t="n"/>
      <c r="R315" s="23" t="n"/>
    </row>
    <row r="316">
      <c r="A316" s="23" t="n"/>
      <c r="B316" s="23" t="n"/>
      <c r="C316" s="24" t="n"/>
      <c r="D316" s="24" t="n"/>
      <c r="E316" s="23" t="n"/>
      <c r="F316" s="23" t="n"/>
      <c r="G316" s="23" t="n"/>
      <c r="H316" s="23" t="n"/>
      <c r="I316" s="25" t="n"/>
      <c r="J316" s="26" t="n"/>
      <c r="K316" s="27">
        <f>IF(N(I316)=0,"",ROUND(I316*J316,2))</f>
        <v/>
      </c>
      <c r="L316" s="27">
        <f>IF(N(I316)=0,"",IF(P316="SI",I316,I316+N(K316)))</f>
        <v/>
      </c>
      <c r="M316" s="23" t="n"/>
      <c r="N316" s="26" t="n"/>
      <c r="O316" s="27">
        <f>IF(N(I316)=0,"",ROUND(N(K316)*N(N316),2))</f>
        <v/>
      </c>
      <c r="P316" s="23" t="n"/>
      <c r="Q316" s="23" t="n"/>
      <c r="R316" s="23" t="n"/>
    </row>
    <row r="317">
      <c r="A317" s="23" t="n"/>
      <c r="B317" s="23" t="n"/>
      <c r="C317" s="24" t="n"/>
      <c r="D317" s="24" t="n"/>
      <c r="E317" s="23" t="n"/>
      <c r="F317" s="23" t="n"/>
      <c r="G317" s="23" t="n"/>
      <c r="H317" s="23" t="n"/>
      <c r="I317" s="25" t="n"/>
      <c r="J317" s="26" t="n"/>
      <c r="K317" s="27">
        <f>IF(N(I317)=0,"",ROUND(I317*J317,2))</f>
        <v/>
      </c>
      <c r="L317" s="27">
        <f>IF(N(I317)=0,"",IF(P317="SI",I317,I317+N(K317)))</f>
        <v/>
      </c>
      <c r="M317" s="23" t="n"/>
      <c r="N317" s="26" t="n"/>
      <c r="O317" s="27">
        <f>IF(N(I317)=0,"",ROUND(N(K317)*N(N317),2))</f>
        <v/>
      </c>
      <c r="P317" s="23" t="n"/>
      <c r="Q317" s="23" t="n"/>
      <c r="R317" s="23" t="n"/>
    </row>
    <row r="318">
      <c r="A318" s="23" t="n"/>
      <c r="B318" s="23" t="n"/>
      <c r="C318" s="24" t="n"/>
      <c r="D318" s="24" t="n"/>
      <c r="E318" s="23" t="n"/>
      <c r="F318" s="23" t="n"/>
      <c r="G318" s="23" t="n"/>
      <c r="H318" s="23" t="n"/>
      <c r="I318" s="25" t="n"/>
      <c r="J318" s="26" t="n"/>
      <c r="K318" s="27">
        <f>IF(N(I318)=0,"",ROUND(I318*J318,2))</f>
        <v/>
      </c>
      <c r="L318" s="27">
        <f>IF(N(I318)=0,"",IF(P318="SI",I318,I318+N(K318)))</f>
        <v/>
      </c>
      <c r="M318" s="23" t="n"/>
      <c r="N318" s="26" t="n"/>
      <c r="O318" s="27">
        <f>IF(N(I318)=0,"",ROUND(N(K318)*N(N318),2))</f>
        <v/>
      </c>
      <c r="P318" s="23" t="n"/>
      <c r="Q318" s="23" t="n"/>
      <c r="R318" s="23" t="n"/>
    </row>
    <row r="319">
      <c r="A319" s="23" t="n"/>
      <c r="B319" s="23" t="n"/>
      <c r="C319" s="24" t="n"/>
      <c r="D319" s="24" t="n"/>
      <c r="E319" s="23" t="n"/>
      <c r="F319" s="23" t="n"/>
      <c r="G319" s="23" t="n"/>
      <c r="H319" s="23" t="n"/>
      <c r="I319" s="25" t="n"/>
      <c r="J319" s="26" t="n"/>
      <c r="K319" s="27">
        <f>IF(N(I319)=0,"",ROUND(I319*J319,2))</f>
        <v/>
      </c>
      <c r="L319" s="27">
        <f>IF(N(I319)=0,"",IF(P319="SI",I319,I319+N(K319)))</f>
        <v/>
      </c>
      <c r="M319" s="23" t="n"/>
      <c r="N319" s="26" t="n"/>
      <c r="O319" s="27">
        <f>IF(N(I319)=0,"",ROUND(N(K319)*N(N319),2))</f>
        <v/>
      </c>
      <c r="P319" s="23" t="n"/>
      <c r="Q319" s="23" t="n"/>
      <c r="R319" s="23" t="n"/>
    </row>
    <row r="320">
      <c r="A320" s="23" t="n"/>
      <c r="B320" s="23" t="n"/>
      <c r="C320" s="24" t="n"/>
      <c r="D320" s="24" t="n"/>
      <c r="E320" s="23" t="n"/>
      <c r="F320" s="23" t="n"/>
      <c r="G320" s="23" t="n"/>
      <c r="H320" s="23" t="n"/>
      <c r="I320" s="25" t="n"/>
      <c r="J320" s="26" t="n"/>
      <c r="K320" s="27">
        <f>IF(N(I320)=0,"",ROUND(I320*J320,2))</f>
        <v/>
      </c>
      <c r="L320" s="27">
        <f>IF(N(I320)=0,"",IF(P320="SI",I320,I320+N(K320)))</f>
        <v/>
      </c>
      <c r="M320" s="23" t="n"/>
      <c r="N320" s="26" t="n"/>
      <c r="O320" s="27">
        <f>IF(N(I320)=0,"",ROUND(N(K320)*N(N320),2))</f>
        <v/>
      </c>
      <c r="P320" s="23" t="n"/>
      <c r="Q320" s="23" t="n"/>
      <c r="R320" s="23" t="n"/>
    </row>
    <row r="321">
      <c r="A321" s="23" t="n"/>
      <c r="B321" s="23" t="n"/>
      <c r="C321" s="24" t="n"/>
      <c r="D321" s="24" t="n"/>
      <c r="E321" s="23" t="n"/>
      <c r="F321" s="23" t="n"/>
      <c r="G321" s="23" t="n"/>
      <c r="H321" s="23" t="n"/>
      <c r="I321" s="25" t="n"/>
      <c r="J321" s="26" t="n"/>
      <c r="K321" s="27">
        <f>IF(N(I321)=0,"",ROUND(I321*J321,2))</f>
        <v/>
      </c>
      <c r="L321" s="27">
        <f>IF(N(I321)=0,"",IF(P321="SI",I321,I321+N(K321)))</f>
        <v/>
      </c>
      <c r="M321" s="23" t="n"/>
      <c r="N321" s="26" t="n"/>
      <c r="O321" s="27">
        <f>IF(N(I321)=0,"",ROUND(N(K321)*N(N321),2))</f>
        <v/>
      </c>
      <c r="P321" s="23" t="n"/>
      <c r="Q321" s="23" t="n"/>
      <c r="R321" s="23" t="n"/>
    </row>
    <row r="322">
      <c r="A322" s="23" t="n"/>
      <c r="B322" s="23" t="n"/>
      <c r="C322" s="24" t="n"/>
      <c r="D322" s="24" t="n"/>
      <c r="E322" s="23" t="n"/>
      <c r="F322" s="23" t="n"/>
      <c r="G322" s="23" t="n"/>
      <c r="H322" s="23" t="n"/>
      <c r="I322" s="25" t="n"/>
      <c r="J322" s="26" t="n"/>
      <c r="K322" s="27">
        <f>IF(N(I322)=0,"",ROUND(I322*J322,2))</f>
        <v/>
      </c>
      <c r="L322" s="27">
        <f>IF(N(I322)=0,"",IF(P322="SI",I322,I322+N(K322)))</f>
        <v/>
      </c>
      <c r="M322" s="23" t="n"/>
      <c r="N322" s="26" t="n"/>
      <c r="O322" s="27">
        <f>IF(N(I322)=0,"",ROUND(N(K322)*N(N322),2))</f>
        <v/>
      </c>
      <c r="P322" s="23" t="n"/>
      <c r="Q322" s="23" t="n"/>
      <c r="R322" s="23" t="n"/>
    </row>
    <row r="323">
      <c r="A323" s="23" t="n"/>
      <c r="B323" s="23" t="n"/>
      <c r="C323" s="24" t="n"/>
      <c r="D323" s="24" t="n"/>
      <c r="E323" s="23" t="n"/>
      <c r="F323" s="23" t="n"/>
      <c r="G323" s="23" t="n"/>
      <c r="H323" s="23" t="n"/>
      <c r="I323" s="25" t="n"/>
      <c r="J323" s="26" t="n"/>
      <c r="K323" s="27">
        <f>IF(N(I323)=0,"",ROUND(I323*J323,2))</f>
        <v/>
      </c>
      <c r="L323" s="27">
        <f>IF(N(I323)=0,"",IF(P323="SI",I323,I323+N(K323)))</f>
        <v/>
      </c>
      <c r="M323" s="23" t="n"/>
      <c r="N323" s="26" t="n"/>
      <c r="O323" s="27">
        <f>IF(N(I323)=0,"",ROUND(N(K323)*N(N323),2))</f>
        <v/>
      </c>
      <c r="P323" s="23" t="n"/>
      <c r="Q323" s="23" t="n"/>
      <c r="R323" s="23" t="n"/>
    </row>
    <row r="324">
      <c r="A324" s="23" t="n"/>
      <c r="B324" s="23" t="n"/>
      <c r="C324" s="24" t="n"/>
      <c r="D324" s="24" t="n"/>
      <c r="E324" s="23" t="n"/>
      <c r="F324" s="23" t="n"/>
      <c r="G324" s="23" t="n"/>
      <c r="H324" s="23" t="n"/>
      <c r="I324" s="25" t="n"/>
      <c r="J324" s="26" t="n"/>
      <c r="K324" s="27">
        <f>IF(N(I324)=0,"",ROUND(I324*J324,2))</f>
        <v/>
      </c>
      <c r="L324" s="27">
        <f>IF(N(I324)=0,"",IF(P324="SI",I324,I324+N(K324)))</f>
        <v/>
      </c>
      <c r="M324" s="23" t="n"/>
      <c r="N324" s="26" t="n"/>
      <c r="O324" s="27">
        <f>IF(N(I324)=0,"",ROUND(N(K324)*N(N324),2))</f>
        <v/>
      </c>
      <c r="P324" s="23" t="n"/>
      <c r="Q324" s="23" t="n"/>
      <c r="R324" s="23" t="n"/>
    </row>
    <row r="325">
      <c r="A325" s="23" t="n"/>
      <c r="B325" s="23" t="n"/>
      <c r="C325" s="24" t="n"/>
      <c r="D325" s="24" t="n"/>
      <c r="E325" s="23" t="n"/>
      <c r="F325" s="23" t="n"/>
      <c r="G325" s="23" t="n"/>
      <c r="H325" s="23" t="n"/>
      <c r="I325" s="25" t="n"/>
      <c r="J325" s="26" t="n"/>
      <c r="K325" s="27">
        <f>IF(N(I325)=0,"",ROUND(I325*J325,2))</f>
        <v/>
      </c>
      <c r="L325" s="27">
        <f>IF(N(I325)=0,"",IF(P325="SI",I325,I325+N(K325)))</f>
        <v/>
      </c>
      <c r="M325" s="23" t="n"/>
      <c r="N325" s="26" t="n"/>
      <c r="O325" s="27">
        <f>IF(N(I325)=0,"",ROUND(N(K325)*N(N325),2))</f>
        <v/>
      </c>
      <c r="P325" s="23" t="n"/>
      <c r="Q325" s="23" t="n"/>
      <c r="R325" s="23" t="n"/>
    </row>
    <row r="326">
      <c r="A326" s="23" t="n"/>
      <c r="B326" s="23" t="n"/>
      <c r="C326" s="24" t="n"/>
      <c r="D326" s="24" t="n"/>
      <c r="E326" s="23" t="n"/>
      <c r="F326" s="23" t="n"/>
      <c r="G326" s="23" t="n"/>
      <c r="H326" s="23" t="n"/>
      <c r="I326" s="25" t="n"/>
      <c r="J326" s="26" t="n"/>
      <c r="K326" s="27">
        <f>IF(N(I326)=0,"",ROUND(I326*J326,2))</f>
        <v/>
      </c>
      <c r="L326" s="27">
        <f>IF(N(I326)=0,"",IF(P326="SI",I326,I326+N(K326)))</f>
        <v/>
      </c>
      <c r="M326" s="23" t="n"/>
      <c r="N326" s="26" t="n"/>
      <c r="O326" s="27">
        <f>IF(N(I326)=0,"",ROUND(N(K326)*N(N326),2))</f>
        <v/>
      </c>
      <c r="P326" s="23" t="n"/>
      <c r="Q326" s="23" t="n"/>
      <c r="R326" s="23" t="n"/>
    </row>
    <row r="327">
      <c r="A327" s="23" t="n"/>
      <c r="B327" s="23" t="n"/>
      <c r="C327" s="24" t="n"/>
      <c r="D327" s="24" t="n"/>
      <c r="E327" s="23" t="n"/>
      <c r="F327" s="23" t="n"/>
      <c r="G327" s="23" t="n"/>
      <c r="H327" s="23" t="n"/>
      <c r="I327" s="25" t="n"/>
      <c r="J327" s="26" t="n"/>
      <c r="K327" s="27">
        <f>IF(N(I327)=0,"",ROUND(I327*J327,2))</f>
        <v/>
      </c>
      <c r="L327" s="27">
        <f>IF(N(I327)=0,"",IF(P327="SI",I327,I327+N(K327)))</f>
        <v/>
      </c>
      <c r="M327" s="23" t="n"/>
      <c r="N327" s="26" t="n"/>
      <c r="O327" s="27">
        <f>IF(N(I327)=0,"",ROUND(N(K327)*N(N327),2))</f>
        <v/>
      </c>
      <c r="P327" s="23" t="n"/>
      <c r="Q327" s="23" t="n"/>
      <c r="R327" s="23" t="n"/>
    </row>
    <row r="328">
      <c r="A328" s="23" t="n"/>
      <c r="B328" s="23" t="n"/>
      <c r="C328" s="24" t="n"/>
      <c r="D328" s="24" t="n"/>
      <c r="E328" s="23" t="n"/>
      <c r="F328" s="23" t="n"/>
      <c r="G328" s="23" t="n"/>
      <c r="H328" s="23" t="n"/>
      <c r="I328" s="25" t="n"/>
      <c r="J328" s="26" t="n"/>
      <c r="K328" s="27">
        <f>IF(N(I328)=0,"",ROUND(I328*J328,2))</f>
        <v/>
      </c>
      <c r="L328" s="27">
        <f>IF(N(I328)=0,"",IF(P328="SI",I328,I328+N(K328)))</f>
        <v/>
      </c>
      <c r="M328" s="23" t="n"/>
      <c r="N328" s="26" t="n"/>
      <c r="O328" s="27">
        <f>IF(N(I328)=0,"",ROUND(N(K328)*N(N328),2))</f>
        <v/>
      </c>
      <c r="P328" s="23" t="n"/>
      <c r="Q328" s="23" t="n"/>
      <c r="R328" s="23" t="n"/>
    </row>
    <row r="329">
      <c r="A329" s="23" t="n"/>
      <c r="B329" s="23" t="n"/>
      <c r="C329" s="24" t="n"/>
      <c r="D329" s="24" t="n"/>
      <c r="E329" s="23" t="n"/>
      <c r="F329" s="23" t="n"/>
      <c r="G329" s="23" t="n"/>
      <c r="H329" s="23" t="n"/>
      <c r="I329" s="25" t="n"/>
      <c r="J329" s="26" t="n"/>
      <c r="K329" s="27">
        <f>IF(N(I329)=0,"",ROUND(I329*J329,2))</f>
        <v/>
      </c>
      <c r="L329" s="27">
        <f>IF(N(I329)=0,"",IF(P329="SI",I329,I329+N(K329)))</f>
        <v/>
      </c>
      <c r="M329" s="23" t="n"/>
      <c r="N329" s="26" t="n"/>
      <c r="O329" s="27">
        <f>IF(N(I329)=0,"",ROUND(N(K329)*N(N329),2))</f>
        <v/>
      </c>
      <c r="P329" s="23" t="n"/>
      <c r="Q329" s="23" t="n"/>
      <c r="R329" s="23" t="n"/>
    </row>
    <row r="330">
      <c r="A330" s="23" t="n"/>
      <c r="B330" s="23" t="n"/>
      <c r="C330" s="24" t="n"/>
      <c r="D330" s="24" t="n"/>
      <c r="E330" s="23" t="n"/>
      <c r="F330" s="23" t="n"/>
      <c r="G330" s="23" t="n"/>
      <c r="H330" s="23" t="n"/>
      <c r="I330" s="25" t="n"/>
      <c r="J330" s="26" t="n"/>
      <c r="K330" s="27">
        <f>IF(N(I330)=0,"",ROUND(I330*J330,2))</f>
        <v/>
      </c>
      <c r="L330" s="27">
        <f>IF(N(I330)=0,"",IF(P330="SI",I330,I330+N(K330)))</f>
        <v/>
      </c>
      <c r="M330" s="23" t="n"/>
      <c r="N330" s="26" t="n"/>
      <c r="O330" s="27">
        <f>IF(N(I330)=0,"",ROUND(N(K330)*N(N330),2))</f>
        <v/>
      </c>
      <c r="P330" s="23" t="n"/>
      <c r="Q330" s="23" t="n"/>
      <c r="R330" s="23" t="n"/>
    </row>
    <row r="331">
      <c r="A331" s="23" t="n"/>
      <c r="B331" s="23" t="n"/>
      <c r="C331" s="24" t="n"/>
      <c r="D331" s="24" t="n"/>
      <c r="E331" s="23" t="n"/>
      <c r="F331" s="23" t="n"/>
      <c r="G331" s="23" t="n"/>
      <c r="H331" s="23" t="n"/>
      <c r="I331" s="25" t="n"/>
      <c r="J331" s="26" t="n"/>
      <c r="K331" s="27">
        <f>IF(N(I331)=0,"",ROUND(I331*J331,2))</f>
        <v/>
      </c>
      <c r="L331" s="27">
        <f>IF(N(I331)=0,"",IF(P331="SI",I331,I331+N(K331)))</f>
        <v/>
      </c>
      <c r="M331" s="23" t="n"/>
      <c r="N331" s="26" t="n"/>
      <c r="O331" s="27">
        <f>IF(N(I331)=0,"",ROUND(N(K331)*N(N331),2))</f>
        <v/>
      </c>
      <c r="P331" s="23" t="n"/>
      <c r="Q331" s="23" t="n"/>
      <c r="R331" s="23" t="n"/>
    </row>
    <row r="332">
      <c r="A332" s="23" t="n"/>
      <c r="B332" s="23" t="n"/>
      <c r="C332" s="24" t="n"/>
      <c r="D332" s="24" t="n"/>
      <c r="E332" s="23" t="n"/>
      <c r="F332" s="23" t="n"/>
      <c r="G332" s="23" t="n"/>
      <c r="H332" s="23" t="n"/>
      <c r="I332" s="25" t="n"/>
      <c r="J332" s="26" t="n"/>
      <c r="K332" s="27">
        <f>IF(N(I332)=0,"",ROUND(I332*J332,2))</f>
        <v/>
      </c>
      <c r="L332" s="27">
        <f>IF(N(I332)=0,"",IF(P332="SI",I332,I332+N(K332)))</f>
        <v/>
      </c>
      <c r="M332" s="23" t="n"/>
      <c r="N332" s="26" t="n"/>
      <c r="O332" s="27">
        <f>IF(N(I332)=0,"",ROUND(N(K332)*N(N332),2))</f>
        <v/>
      </c>
      <c r="P332" s="23" t="n"/>
      <c r="Q332" s="23" t="n"/>
      <c r="R332" s="23" t="n"/>
    </row>
    <row r="333">
      <c r="A333" s="23" t="n"/>
      <c r="B333" s="23" t="n"/>
      <c r="C333" s="24" t="n"/>
      <c r="D333" s="24" t="n"/>
      <c r="E333" s="23" t="n"/>
      <c r="F333" s="23" t="n"/>
      <c r="G333" s="23" t="n"/>
      <c r="H333" s="23" t="n"/>
      <c r="I333" s="25" t="n"/>
      <c r="J333" s="26" t="n"/>
      <c r="K333" s="27">
        <f>IF(N(I333)=0,"",ROUND(I333*J333,2))</f>
        <v/>
      </c>
      <c r="L333" s="27">
        <f>IF(N(I333)=0,"",IF(P333="SI",I333,I333+N(K333)))</f>
        <v/>
      </c>
      <c r="M333" s="23" t="n"/>
      <c r="N333" s="26" t="n"/>
      <c r="O333" s="27">
        <f>IF(N(I333)=0,"",ROUND(N(K333)*N(N333),2))</f>
        <v/>
      </c>
      <c r="P333" s="23" t="n"/>
      <c r="Q333" s="23" t="n"/>
      <c r="R333" s="23" t="n"/>
    </row>
    <row r="334">
      <c r="A334" s="23" t="n"/>
      <c r="B334" s="23" t="n"/>
      <c r="C334" s="24" t="n"/>
      <c r="D334" s="24" t="n"/>
      <c r="E334" s="23" t="n"/>
      <c r="F334" s="23" t="n"/>
      <c r="G334" s="23" t="n"/>
      <c r="H334" s="23" t="n"/>
      <c r="I334" s="25" t="n"/>
      <c r="J334" s="26" t="n"/>
      <c r="K334" s="27">
        <f>IF(N(I334)=0,"",ROUND(I334*J334,2))</f>
        <v/>
      </c>
      <c r="L334" s="27">
        <f>IF(N(I334)=0,"",IF(P334="SI",I334,I334+N(K334)))</f>
        <v/>
      </c>
      <c r="M334" s="23" t="n"/>
      <c r="N334" s="26" t="n"/>
      <c r="O334" s="27">
        <f>IF(N(I334)=0,"",ROUND(N(K334)*N(N334),2))</f>
        <v/>
      </c>
      <c r="P334" s="23" t="n"/>
      <c r="Q334" s="23" t="n"/>
      <c r="R334" s="23" t="n"/>
    </row>
    <row r="335">
      <c r="A335" s="23" t="n"/>
      <c r="B335" s="23" t="n"/>
      <c r="C335" s="24" t="n"/>
      <c r="D335" s="24" t="n"/>
      <c r="E335" s="23" t="n"/>
      <c r="F335" s="23" t="n"/>
      <c r="G335" s="23" t="n"/>
      <c r="H335" s="23" t="n"/>
      <c r="I335" s="25" t="n"/>
      <c r="J335" s="26" t="n"/>
      <c r="K335" s="27">
        <f>IF(N(I335)=0,"",ROUND(I335*J335,2))</f>
        <v/>
      </c>
      <c r="L335" s="27">
        <f>IF(N(I335)=0,"",IF(P335="SI",I335,I335+N(K335)))</f>
        <v/>
      </c>
      <c r="M335" s="23" t="n"/>
      <c r="N335" s="26" t="n"/>
      <c r="O335" s="27">
        <f>IF(N(I335)=0,"",ROUND(N(K335)*N(N335),2))</f>
        <v/>
      </c>
      <c r="P335" s="23" t="n"/>
      <c r="Q335" s="23" t="n"/>
      <c r="R335" s="23" t="n"/>
    </row>
    <row r="336">
      <c r="A336" s="23" t="n"/>
      <c r="B336" s="23" t="n"/>
      <c r="C336" s="24" t="n"/>
      <c r="D336" s="24" t="n"/>
      <c r="E336" s="23" t="n"/>
      <c r="F336" s="23" t="n"/>
      <c r="G336" s="23" t="n"/>
      <c r="H336" s="23" t="n"/>
      <c r="I336" s="25" t="n"/>
      <c r="J336" s="26" t="n"/>
      <c r="K336" s="27">
        <f>IF(N(I336)=0,"",ROUND(I336*J336,2))</f>
        <v/>
      </c>
      <c r="L336" s="27">
        <f>IF(N(I336)=0,"",IF(P336="SI",I336,I336+N(K336)))</f>
        <v/>
      </c>
      <c r="M336" s="23" t="n"/>
      <c r="N336" s="26" t="n"/>
      <c r="O336" s="27">
        <f>IF(N(I336)=0,"",ROUND(N(K336)*N(N336),2))</f>
        <v/>
      </c>
      <c r="P336" s="23" t="n"/>
      <c r="Q336" s="23" t="n"/>
      <c r="R336" s="23" t="n"/>
    </row>
    <row r="337">
      <c r="A337" s="23" t="n"/>
      <c r="B337" s="23" t="n"/>
      <c r="C337" s="24" t="n"/>
      <c r="D337" s="24" t="n"/>
      <c r="E337" s="23" t="n"/>
      <c r="F337" s="23" t="n"/>
      <c r="G337" s="23" t="n"/>
      <c r="H337" s="23" t="n"/>
      <c r="I337" s="25" t="n"/>
      <c r="J337" s="26" t="n"/>
      <c r="K337" s="27">
        <f>IF(N(I337)=0,"",ROUND(I337*J337,2))</f>
        <v/>
      </c>
      <c r="L337" s="27">
        <f>IF(N(I337)=0,"",IF(P337="SI",I337,I337+N(K337)))</f>
        <v/>
      </c>
      <c r="M337" s="23" t="n"/>
      <c r="N337" s="26" t="n"/>
      <c r="O337" s="27">
        <f>IF(N(I337)=0,"",ROUND(N(K337)*N(N337),2))</f>
        <v/>
      </c>
      <c r="P337" s="23" t="n"/>
      <c r="Q337" s="23" t="n"/>
      <c r="R337" s="23" t="n"/>
    </row>
    <row r="338">
      <c r="A338" s="23" t="n"/>
      <c r="B338" s="23" t="n"/>
      <c r="C338" s="24" t="n"/>
      <c r="D338" s="24" t="n"/>
      <c r="E338" s="23" t="n"/>
      <c r="F338" s="23" t="n"/>
      <c r="G338" s="23" t="n"/>
      <c r="H338" s="23" t="n"/>
      <c r="I338" s="25" t="n"/>
      <c r="J338" s="26" t="n"/>
      <c r="K338" s="27">
        <f>IF(N(I338)=0,"",ROUND(I338*J338,2))</f>
        <v/>
      </c>
      <c r="L338" s="27">
        <f>IF(N(I338)=0,"",IF(P338="SI",I338,I338+N(K338)))</f>
        <v/>
      </c>
      <c r="M338" s="23" t="n"/>
      <c r="N338" s="26" t="n"/>
      <c r="O338" s="27">
        <f>IF(N(I338)=0,"",ROUND(N(K338)*N(N338),2))</f>
        <v/>
      </c>
      <c r="P338" s="23" t="n"/>
      <c r="Q338" s="23" t="n"/>
      <c r="R338" s="23" t="n"/>
    </row>
    <row r="339">
      <c r="A339" s="23" t="n"/>
      <c r="B339" s="23" t="n"/>
      <c r="C339" s="24" t="n"/>
      <c r="D339" s="24" t="n"/>
      <c r="E339" s="23" t="n"/>
      <c r="F339" s="23" t="n"/>
      <c r="G339" s="23" t="n"/>
      <c r="H339" s="23" t="n"/>
      <c r="I339" s="25" t="n"/>
      <c r="J339" s="26" t="n"/>
      <c r="K339" s="27">
        <f>IF(N(I339)=0,"",ROUND(I339*J339,2))</f>
        <v/>
      </c>
      <c r="L339" s="27">
        <f>IF(N(I339)=0,"",IF(P339="SI",I339,I339+N(K339)))</f>
        <v/>
      </c>
      <c r="M339" s="23" t="n"/>
      <c r="N339" s="26" t="n"/>
      <c r="O339" s="27">
        <f>IF(N(I339)=0,"",ROUND(N(K339)*N(N339),2))</f>
        <v/>
      </c>
      <c r="P339" s="23" t="n"/>
      <c r="Q339" s="23" t="n"/>
      <c r="R339" s="23" t="n"/>
    </row>
    <row r="340">
      <c r="A340" s="23" t="n"/>
      <c r="B340" s="23" t="n"/>
      <c r="C340" s="24" t="n"/>
      <c r="D340" s="24" t="n"/>
      <c r="E340" s="23" t="n"/>
      <c r="F340" s="23" t="n"/>
      <c r="G340" s="23" t="n"/>
      <c r="H340" s="23" t="n"/>
      <c r="I340" s="25" t="n"/>
      <c r="J340" s="26" t="n"/>
      <c r="K340" s="27">
        <f>IF(N(I340)=0,"",ROUND(I340*J340,2))</f>
        <v/>
      </c>
      <c r="L340" s="27">
        <f>IF(N(I340)=0,"",IF(P340="SI",I340,I340+N(K340)))</f>
        <v/>
      </c>
      <c r="M340" s="23" t="n"/>
      <c r="N340" s="26" t="n"/>
      <c r="O340" s="27">
        <f>IF(N(I340)=0,"",ROUND(N(K340)*N(N340),2))</f>
        <v/>
      </c>
      <c r="P340" s="23" t="n"/>
      <c r="Q340" s="23" t="n"/>
      <c r="R340" s="23" t="n"/>
    </row>
    <row r="341">
      <c r="A341" s="23" t="n"/>
      <c r="B341" s="23" t="n"/>
      <c r="C341" s="24" t="n"/>
      <c r="D341" s="24" t="n"/>
      <c r="E341" s="23" t="n"/>
      <c r="F341" s="23" t="n"/>
      <c r="G341" s="23" t="n"/>
      <c r="H341" s="23" t="n"/>
      <c r="I341" s="25" t="n"/>
      <c r="J341" s="26" t="n"/>
      <c r="K341" s="27">
        <f>IF(N(I341)=0,"",ROUND(I341*J341,2))</f>
        <v/>
      </c>
      <c r="L341" s="27">
        <f>IF(N(I341)=0,"",IF(P341="SI",I341,I341+N(K341)))</f>
        <v/>
      </c>
      <c r="M341" s="23" t="n"/>
      <c r="N341" s="26" t="n"/>
      <c r="O341" s="27">
        <f>IF(N(I341)=0,"",ROUND(N(K341)*N(N341),2))</f>
        <v/>
      </c>
      <c r="P341" s="23" t="n"/>
      <c r="Q341" s="23" t="n"/>
      <c r="R341" s="23" t="n"/>
    </row>
    <row r="342">
      <c r="A342" s="23" t="n"/>
      <c r="B342" s="23" t="n"/>
      <c r="C342" s="24" t="n"/>
      <c r="D342" s="24" t="n"/>
      <c r="E342" s="23" t="n"/>
      <c r="F342" s="23" t="n"/>
      <c r="G342" s="23" t="n"/>
      <c r="H342" s="23" t="n"/>
      <c r="I342" s="25" t="n"/>
      <c r="J342" s="26" t="n"/>
      <c r="K342" s="27">
        <f>IF(N(I342)=0,"",ROUND(I342*J342,2))</f>
        <v/>
      </c>
      <c r="L342" s="27">
        <f>IF(N(I342)=0,"",IF(P342="SI",I342,I342+N(K342)))</f>
        <v/>
      </c>
      <c r="M342" s="23" t="n"/>
      <c r="N342" s="26" t="n"/>
      <c r="O342" s="27">
        <f>IF(N(I342)=0,"",ROUND(N(K342)*N(N342),2))</f>
        <v/>
      </c>
      <c r="P342" s="23" t="n"/>
      <c r="Q342" s="23" t="n"/>
      <c r="R342" s="23" t="n"/>
    </row>
    <row r="343">
      <c r="A343" s="23" t="n"/>
      <c r="B343" s="23" t="n"/>
      <c r="C343" s="24" t="n"/>
      <c r="D343" s="24" t="n"/>
      <c r="E343" s="23" t="n"/>
      <c r="F343" s="23" t="n"/>
      <c r="G343" s="23" t="n"/>
      <c r="H343" s="23" t="n"/>
      <c r="I343" s="25" t="n"/>
      <c r="J343" s="26" t="n"/>
      <c r="K343" s="27">
        <f>IF(N(I343)=0,"",ROUND(I343*J343,2))</f>
        <v/>
      </c>
      <c r="L343" s="27">
        <f>IF(N(I343)=0,"",IF(P343="SI",I343,I343+N(K343)))</f>
        <v/>
      </c>
      <c r="M343" s="23" t="n"/>
      <c r="N343" s="26" t="n"/>
      <c r="O343" s="27">
        <f>IF(N(I343)=0,"",ROUND(N(K343)*N(N343),2))</f>
        <v/>
      </c>
      <c r="P343" s="23" t="n"/>
      <c r="Q343" s="23" t="n"/>
      <c r="R343" s="23" t="n"/>
    </row>
    <row r="344">
      <c r="A344" s="23" t="n"/>
      <c r="B344" s="23" t="n"/>
      <c r="C344" s="24" t="n"/>
      <c r="D344" s="24" t="n"/>
      <c r="E344" s="23" t="n"/>
      <c r="F344" s="23" t="n"/>
      <c r="G344" s="23" t="n"/>
      <c r="H344" s="23" t="n"/>
      <c r="I344" s="25" t="n"/>
      <c r="J344" s="26" t="n"/>
      <c r="K344" s="27">
        <f>IF(N(I344)=0,"",ROUND(I344*J344,2))</f>
        <v/>
      </c>
      <c r="L344" s="27">
        <f>IF(N(I344)=0,"",IF(P344="SI",I344,I344+N(K344)))</f>
        <v/>
      </c>
      <c r="M344" s="23" t="n"/>
      <c r="N344" s="26" t="n"/>
      <c r="O344" s="27">
        <f>IF(N(I344)=0,"",ROUND(N(K344)*N(N344),2))</f>
        <v/>
      </c>
      <c r="P344" s="23" t="n"/>
      <c r="Q344" s="23" t="n"/>
      <c r="R344" s="23" t="n"/>
    </row>
    <row r="345">
      <c r="A345" s="23" t="n"/>
      <c r="B345" s="23" t="n"/>
      <c r="C345" s="24" t="n"/>
      <c r="D345" s="24" t="n"/>
      <c r="E345" s="23" t="n"/>
      <c r="F345" s="23" t="n"/>
      <c r="G345" s="23" t="n"/>
      <c r="H345" s="23" t="n"/>
      <c r="I345" s="25" t="n"/>
      <c r="J345" s="26" t="n"/>
      <c r="K345" s="27">
        <f>IF(N(I345)=0,"",ROUND(I345*J345,2))</f>
        <v/>
      </c>
      <c r="L345" s="27">
        <f>IF(N(I345)=0,"",IF(P345="SI",I345,I345+N(K345)))</f>
        <v/>
      </c>
      <c r="M345" s="23" t="n"/>
      <c r="N345" s="26" t="n"/>
      <c r="O345" s="27">
        <f>IF(N(I345)=0,"",ROUND(N(K345)*N(N345),2))</f>
        <v/>
      </c>
      <c r="P345" s="23" t="n"/>
      <c r="Q345" s="23" t="n"/>
      <c r="R345" s="23" t="n"/>
    </row>
    <row r="346">
      <c r="A346" s="23" t="n"/>
      <c r="B346" s="23" t="n"/>
      <c r="C346" s="24" t="n"/>
      <c r="D346" s="24" t="n"/>
      <c r="E346" s="23" t="n"/>
      <c r="F346" s="23" t="n"/>
      <c r="G346" s="23" t="n"/>
      <c r="H346" s="23" t="n"/>
      <c r="I346" s="25" t="n"/>
      <c r="J346" s="26" t="n"/>
      <c r="K346" s="27">
        <f>IF(N(I346)=0,"",ROUND(I346*J346,2))</f>
        <v/>
      </c>
      <c r="L346" s="27">
        <f>IF(N(I346)=0,"",IF(P346="SI",I346,I346+N(K346)))</f>
        <v/>
      </c>
      <c r="M346" s="23" t="n"/>
      <c r="N346" s="26" t="n"/>
      <c r="O346" s="27">
        <f>IF(N(I346)=0,"",ROUND(N(K346)*N(N346),2))</f>
        <v/>
      </c>
      <c r="P346" s="23" t="n"/>
      <c r="Q346" s="23" t="n"/>
      <c r="R346" s="23" t="n"/>
    </row>
    <row r="347">
      <c r="A347" s="23" t="n"/>
      <c r="B347" s="23" t="n"/>
      <c r="C347" s="24" t="n"/>
      <c r="D347" s="24" t="n"/>
      <c r="E347" s="23" t="n"/>
      <c r="F347" s="23" t="n"/>
      <c r="G347" s="23" t="n"/>
      <c r="H347" s="23" t="n"/>
      <c r="I347" s="25" t="n"/>
      <c r="J347" s="26" t="n"/>
      <c r="K347" s="27">
        <f>IF(N(I347)=0,"",ROUND(I347*J347,2))</f>
        <v/>
      </c>
      <c r="L347" s="27">
        <f>IF(N(I347)=0,"",IF(P347="SI",I347,I347+N(K347)))</f>
        <v/>
      </c>
      <c r="M347" s="23" t="n"/>
      <c r="N347" s="26" t="n"/>
      <c r="O347" s="27">
        <f>IF(N(I347)=0,"",ROUND(N(K347)*N(N347),2))</f>
        <v/>
      </c>
      <c r="P347" s="23" t="n"/>
      <c r="Q347" s="23" t="n"/>
      <c r="R347" s="23" t="n"/>
    </row>
    <row r="348">
      <c r="A348" s="23" t="n"/>
      <c r="B348" s="23" t="n"/>
      <c r="C348" s="24" t="n"/>
      <c r="D348" s="24" t="n"/>
      <c r="E348" s="23" t="n"/>
      <c r="F348" s="23" t="n"/>
      <c r="G348" s="23" t="n"/>
      <c r="H348" s="23" t="n"/>
      <c r="I348" s="25" t="n"/>
      <c r="J348" s="26" t="n"/>
      <c r="K348" s="27">
        <f>IF(N(I348)=0,"",ROUND(I348*J348,2))</f>
        <v/>
      </c>
      <c r="L348" s="27">
        <f>IF(N(I348)=0,"",IF(P348="SI",I348,I348+N(K348)))</f>
        <v/>
      </c>
      <c r="M348" s="23" t="n"/>
      <c r="N348" s="26" t="n"/>
      <c r="O348" s="27">
        <f>IF(N(I348)=0,"",ROUND(N(K348)*N(N348),2))</f>
        <v/>
      </c>
      <c r="P348" s="23" t="n"/>
      <c r="Q348" s="23" t="n"/>
      <c r="R348" s="23" t="n"/>
    </row>
    <row r="349">
      <c r="A349" s="23" t="n"/>
      <c r="B349" s="23" t="n"/>
      <c r="C349" s="24" t="n"/>
      <c r="D349" s="24" t="n"/>
      <c r="E349" s="23" t="n"/>
      <c r="F349" s="23" t="n"/>
      <c r="G349" s="23" t="n"/>
      <c r="H349" s="23" t="n"/>
      <c r="I349" s="25" t="n"/>
      <c r="J349" s="26" t="n"/>
      <c r="K349" s="27">
        <f>IF(N(I349)=0,"",ROUND(I349*J349,2))</f>
        <v/>
      </c>
      <c r="L349" s="27">
        <f>IF(N(I349)=0,"",IF(P349="SI",I349,I349+N(K349)))</f>
        <v/>
      </c>
      <c r="M349" s="23" t="n"/>
      <c r="N349" s="26" t="n"/>
      <c r="O349" s="27">
        <f>IF(N(I349)=0,"",ROUND(N(K349)*N(N349),2))</f>
        <v/>
      </c>
      <c r="P349" s="23" t="n"/>
      <c r="Q349" s="23" t="n"/>
      <c r="R349" s="23" t="n"/>
    </row>
    <row r="350">
      <c r="A350" s="23" t="n"/>
      <c r="B350" s="23" t="n"/>
      <c r="C350" s="24" t="n"/>
      <c r="D350" s="24" t="n"/>
      <c r="E350" s="23" t="n"/>
      <c r="F350" s="23" t="n"/>
      <c r="G350" s="23" t="n"/>
      <c r="H350" s="23" t="n"/>
      <c r="I350" s="25" t="n"/>
      <c r="J350" s="26" t="n"/>
      <c r="K350" s="27">
        <f>IF(N(I350)=0,"",ROUND(I350*J350,2))</f>
        <v/>
      </c>
      <c r="L350" s="27">
        <f>IF(N(I350)=0,"",IF(P350="SI",I350,I350+N(K350)))</f>
        <v/>
      </c>
      <c r="M350" s="23" t="n"/>
      <c r="N350" s="26" t="n"/>
      <c r="O350" s="27">
        <f>IF(N(I350)=0,"",ROUND(N(K350)*N(N350),2))</f>
        <v/>
      </c>
      <c r="P350" s="23" t="n"/>
      <c r="Q350" s="23" t="n"/>
      <c r="R350" s="23" t="n"/>
    </row>
    <row r="351">
      <c r="A351" s="23" t="n"/>
      <c r="B351" s="23" t="n"/>
      <c r="C351" s="24" t="n"/>
      <c r="D351" s="24" t="n"/>
      <c r="E351" s="23" t="n"/>
      <c r="F351" s="23" t="n"/>
      <c r="G351" s="23" t="n"/>
      <c r="H351" s="23" t="n"/>
      <c r="I351" s="25" t="n"/>
      <c r="J351" s="26" t="n"/>
      <c r="K351" s="27">
        <f>IF(N(I351)=0,"",ROUND(I351*J351,2))</f>
        <v/>
      </c>
      <c r="L351" s="27">
        <f>IF(N(I351)=0,"",IF(P351="SI",I351,I351+N(K351)))</f>
        <v/>
      </c>
      <c r="M351" s="23" t="n"/>
      <c r="N351" s="26" t="n"/>
      <c r="O351" s="27">
        <f>IF(N(I351)=0,"",ROUND(N(K351)*N(N351),2))</f>
        <v/>
      </c>
      <c r="P351" s="23" t="n"/>
      <c r="Q351" s="23" t="n"/>
      <c r="R351" s="23" t="n"/>
    </row>
    <row r="352">
      <c r="A352" s="23" t="n"/>
      <c r="B352" s="23" t="n"/>
      <c r="C352" s="24" t="n"/>
      <c r="D352" s="24" t="n"/>
      <c r="E352" s="23" t="n"/>
      <c r="F352" s="23" t="n"/>
      <c r="G352" s="23" t="n"/>
      <c r="H352" s="23" t="n"/>
      <c r="I352" s="25" t="n"/>
      <c r="J352" s="26" t="n"/>
      <c r="K352" s="27">
        <f>IF(N(I352)=0,"",ROUND(I352*J352,2))</f>
        <v/>
      </c>
      <c r="L352" s="27">
        <f>IF(N(I352)=0,"",IF(P352="SI",I352,I352+N(K352)))</f>
        <v/>
      </c>
      <c r="M352" s="23" t="n"/>
      <c r="N352" s="26" t="n"/>
      <c r="O352" s="27">
        <f>IF(N(I352)=0,"",ROUND(N(K352)*N(N352),2))</f>
        <v/>
      </c>
      <c r="P352" s="23" t="n"/>
      <c r="Q352" s="23" t="n"/>
      <c r="R352" s="23" t="n"/>
    </row>
    <row r="353">
      <c r="A353" s="23" t="n"/>
      <c r="B353" s="23" t="n"/>
      <c r="C353" s="24" t="n"/>
      <c r="D353" s="24" t="n"/>
      <c r="E353" s="23" t="n"/>
      <c r="F353" s="23" t="n"/>
      <c r="G353" s="23" t="n"/>
      <c r="H353" s="23" t="n"/>
      <c r="I353" s="25" t="n"/>
      <c r="J353" s="26" t="n"/>
      <c r="K353" s="27">
        <f>IF(N(I353)=0,"",ROUND(I353*J353,2))</f>
        <v/>
      </c>
      <c r="L353" s="27">
        <f>IF(N(I353)=0,"",IF(P353="SI",I353,I353+N(K353)))</f>
        <v/>
      </c>
      <c r="M353" s="23" t="n"/>
      <c r="N353" s="26" t="n"/>
      <c r="O353" s="27">
        <f>IF(N(I353)=0,"",ROUND(N(K353)*N(N353),2))</f>
        <v/>
      </c>
      <c r="P353" s="23" t="n"/>
      <c r="Q353" s="23" t="n"/>
      <c r="R353" s="23" t="n"/>
    </row>
    <row r="354">
      <c r="A354" s="23" t="n"/>
      <c r="B354" s="23" t="n"/>
      <c r="C354" s="24" t="n"/>
      <c r="D354" s="24" t="n"/>
      <c r="E354" s="23" t="n"/>
      <c r="F354" s="23" t="n"/>
      <c r="G354" s="23" t="n"/>
      <c r="H354" s="23" t="n"/>
      <c r="I354" s="25" t="n"/>
      <c r="J354" s="26" t="n"/>
      <c r="K354" s="27">
        <f>IF(N(I354)=0,"",ROUND(I354*J354,2))</f>
        <v/>
      </c>
      <c r="L354" s="27">
        <f>IF(N(I354)=0,"",IF(P354="SI",I354,I354+N(K354)))</f>
        <v/>
      </c>
      <c r="M354" s="23" t="n"/>
      <c r="N354" s="26" t="n"/>
      <c r="O354" s="27">
        <f>IF(N(I354)=0,"",ROUND(N(K354)*N(N354),2))</f>
        <v/>
      </c>
      <c r="P354" s="23" t="n"/>
      <c r="Q354" s="23" t="n"/>
      <c r="R354" s="23" t="n"/>
    </row>
    <row r="355">
      <c r="A355" s="23" t="n"/>
      <c r="B355" s="23" t="n"/>
      <c r="C355" s="24" t="n"/>
      <c r="D355" s="24" t="n"/>
      <c r="E355" s="23" t="n"/>
      <c r="F355" s="23" t="n"/>
      <c r="G355" s="23" t="n"/>
      <c r="H355" s="23" t="n"/>
      <c r="I355" s="25" t="n"/>
      <c r="J355" s="26" t="n"/>
      <c r="K355" s="27">
        <f>IF(N(I355)=0,"",ROUND(I355*J355,2))</f>
        <v/>
      </c>
      <c r="L355" s="27">
        <f>IF(N(I355)=0,"",IF(P355="SI",I355,I355+N(K355)))</f>
        <v/>
      </c>
      <c r="M355" s="23" t="n"/>
      <c r="N355" s="26" t="n"/>
      <c r="O355" s="27">
        <f>IF(N(I355)=0,"",ROUND(N(K355)*N(N355),2))</f>
        <v/>
      </c>
      <c r="P355" s="23" t="n"/>
      <c r="Q355" s="23" t="n"/>
      <c r="R355" s="23" t="n"/>
    </row>
    <row r="356">
      <c r="A356" s="23" t="n"/>
      <c r="B356" s="23" t="n"/>
      <c r="C356" s="24" t="n"/>
      <c r="D356" s="24" t="n"/>
      <c r="E356" s="23" t="n"/>
      <c r="F356" s="23" t="n"/>
      <c r="G356" s="23" t="n"/>
      <c r="H356" s="23" t="n"/>
      <c r="I356" s="25" t="n"/>
      <c r="J356" s="26" t="n"/>
      <c r="K356" s="27">
        <f>IF(N(I356)=0,"",ROUND(I356*J356,2))</f>
        <v/>
      </c>
      <c r="L356" s="27">
        <f>IF(N(I356)=0,"",IF(P356="SI",I356,I356+N(K356)))</f>
        <v/>
      </c>
      <c r="M356" s="23" t="n"/>
      <c r="N356" s="26" t="n"/>
      <c r="O356" s="27">
        <f>IF(N(I356)=0,"",ROUND(N(K356)*N(N356),2))</f>
        <v/>
      </c>
      <c r="P356" s="23" t="n"/>
      <c r="Q356" s="23" t="n"/>
      <c r="R356" s="23" t="n"/>
    </row>
    <row r="357">
      <c r="A357" s="23" t="n"/>
      <c r="B357" s="23" t="n"/>
      <c r="C357" s="24" t="n"/>
      <c r="D357" s="24" t="n"/>
      <c r="E357" s="23" t="n"/>
      <c r="F357" s="23" t="n"/>
      <c r="G357" s="23" t="n"/>
      <c r="H357" s="23" t="n"/>
      <c r="I357" s="25" t="n"/>
      <c r="J357" s="26" t="n"/>
      <c r="K357" s="27">
        <f>IF(N(I357)=0,"",ROUND(I357*J357,2))</f>
        <v/>
      </c>
      <c r="L357" s="27">
        <f>IF(N(I357)=0,"",IF(P357="SI",I357,I357+N(K357)))</f>
        <v/>
      </c>
      <c r="M357" s="23" t="n"/>
      <c r="N357" s="26" t="n"/>
      <c r="O357" s="27">
        <f>IF(N(I357)=0,"",ROUND(N(K357)*N(N357),2))</f>
        <v/>
      </c>
      <c r="P357" s="23" t="n"/>
      <c r="Q357" s="23" t="n"/>
      <c r="R357" s="23" t="n"/>
    </row>
    <row r="358">
      <c r="A358" s="23" t="n"/>
      <c r="B358" s="23" t="n"/>
      <c r="C358" s="24" t="n"/>
      <c r="D358" s="24" t="n"/>
      <c r="E358" s="23" t="n"/>
      <c r="F358" s="23" t="n"/>
      <c r="G358" s="23" t="n"/>
      <c r="H358" s="23" t="n"/>
      <c r="I358" s="25" t="n"/>
      <c r="J358" s="26" t="n"/>
      <c r="K358" s="27">
        <f>IF(N(I358)=0,"",ROUND(I358*J358,2))</f>
        <v/>
      </c>
      <c r="L358" s="27">
        <f>IF(N(I358)=0,"",IF(P358="SI",I358,I358+N(K358)))</f>
        <v/>
      </c>
      <c r="M358" s="23" t="n"/>
      <c r="N358" s="26" t="n"/>
      <c r="O358" s="27">
        <f>IF(N(I358)=0,"",ROUND(N(K358)*N(N358),2))</f>
        <v/>
      </c>
      <c r="P358" s="23" t="n"/>
      <c r="Q358" s="23" t="n"/>
      <c r="R358" s="23" t="n"/>
    </row>
    <row r="359">
      <c r="A359" s="23" t="n"/>
      <c r="B359" s="23" t="n"/>
      <c r="C359" s="24" t="n"/>
      <c r="D359" s="24" t="n"/>
      <c r="E359" s="23" t="n"/>
      <c r="F359" s="23" t="n"/>
      <c r="G359" s="23" t="n"/>
      <c r="H359" s="23" t="n"/>
      <c r="I359" s="25" t="n"/>
      <c r="J359" s="26" t="n"/>
      <c r="K359" s="27">
        <f>IF(N(I359)=0,"",ROUND(I359*J359,2))</f>
        <v/>
      </c>
      <c r="L359" s="27">
        <f>IF(N(I359)=0,"",IF(P359="SI",I359,I359+N(K359)))</f>
        <v/>
      </c>
      <c r="M359" s="23" t="n"/>
      <c r="N359" s="26" t="n"/>
      <c r="O359" s="27">
        <f>IF(N(I359)=0,"",ROUND(N(K359)*N(N359),2))</f>
        <v/>
      </c>
      <c r="P359" s="23" t="n"/>
      <c r="Q359" s="23" t="n"/>
      <c r="R359" s="23" t="n"/>
    </row>
    <row r="360">
      <c r="A360" s="23" t="n"/>
      <c r="B360" s="23" t="n"/>
      <c r="C360" s="24" t="n"/>
      <c r="D360" s="24" t="n"/>
      <c r="E360" s="23" t="n"/>
      <c r="F360" s="23" t="n"/>
      <c r="G360" s="23" t="n"/>
      <c r="H360" s="23" t="n"/>
      <c r="I360" s="25" t="n"/>
      <c r="J360" s="26" t="n"/>
      <c r="K360" s="27">
        <f>IF(N(I360)=0,"",ROUND(I360*J360,2))</f>
        <v/>
      </c>
      <c r="L360" s="27">
        <f>IF(N(I360)=0,"",IF(P360="SI",I360,I360+N(K360)))</f>
        <v/>
      </c>
      <c r="M360" s="23" t="n"/>
      <c r="N360" s="26" t="n"/>
      <c r="O360" s="27">
        <f>IF(N(I360)=0,"",ROUND(N(K360)*N(N360),2))</f>
        <v/>
      </c>
      <c r="P360" s="23" t="n"/>
      <c r="Q360" s="23" t="n"/>
      <c r="R360" s="23" t="n"/>
    </row>
    <row r="361">
      <c r="A361" s="23" t="n"/>
      <c r="B361" s="23" t="n"/>
      <c r="C361" s="24" t="n"/>
      <c r="D361" s="24" t="n"/>
      <c r="E361" s="23" t="n"/>
      <c r="F361" s="23" t="n"/>
      <c r="G361" s="23" t="n"/>
      <c r="H361" s="23" t="n"/>
      <c r="I361" s="25" t="n"/>
      <c r="J361" s="26" t="n"/>
      <c r="K361" s="27">
        <f>IF(N(I361)=0,"",ROUND(I361*J361,2))</f>
        <v/>
      </c>
      <c r="L361" s="27">
        <f>IF(N(I361)=0,"",IF(P361="SI",I361,I361+N(K361)))</f>
        <v/>
      </c>
      <c r="M361" s="23" t="n"/>
      <c r="N361" s="26" t="n"/>
      <c r="O361" s="27">
        <f>IF(N(I361)=0,"",ROUND(N(K361)*N(N361),2))</f>
        <v/>
      </c>
      <c r="P361" s="23" t="n"/>
      <c r="Q361" s="23" t="n"/>
      <c r="R361" s="23" t="n"/>
    </row>
    <row r="362">
      <c r="A362" s="23" t="n"/>
      <c r="B362" s="23" t="n"/>
      <c r="C362" s="24" t="n"/>
      <c r="D362" s="24" t="n"/>
      <c r="E362" s="23" t="n"/>
      <c r="F362" s="23" t="n"/>
      <c r="G362" s="23" t="n"/>
      <c r="H362" s="23" t="n"/>
      <c r="I362" s="25" t="n"/>
      <c r="J362" s="26" t="n"/>
      <c r="K362" s="27">
        <f>IF(N(I362)=0,"",ROUND(I362*J362,2))</f>
        <v/>
      </c>
      <c r="L362" s="27">
        <f>IF(N(I362)=0,"",IF(P362="SI",I362,I362+N(K362)))</f>
        <v/>
      </c>
      <c r="M362" s="23" t="n"/>
      <c r="N362" s="26" t="n"/>
      <c r="O362" s="27">
        <f>IF(N(I362)=0,"",ROUND(N(K362)*N(N362),2))</f>
        <v/>
      </c>
      <c r="P362" s="23" t="n"/>
      <c r="Q362" s="23" t="n"/>
      <c r="R362" s="23" t="n"/>
    </row>
    <row r="363">
      <c r="A363" s="23" t="n"/>
      <c r="B363" s="23" t="n"/>
      <c r="C363" s="24" t="n"/>
      <c r="D363" s="24" t="n"/>
      <c r="E363" s="23" t="n"/>
      <c r="F363" s="23" t="n"/>
      <c r="G363" s="23" t="n"/>
      <c r="H363" s="23" t="n"/>
      <c r="I363" s="25" t="n"/>
      <c r="J363" s="26" t="n"/>
      <c r="K363" s="27">
        <f>IF(N(I363)=0,"",ROUND(I363*J363,2))</f>
        <v/>
      </c>
      <c r="L363" s="27">
        <f>IF(N(I363)=0,"",IF(P363="SI",I363,I363+N(K363)))</f>
        <v/>
      </c>
      <c r="M363" s="23" t="n"/>
      <c r="N363" s="26" t="n"/>
      <c r="O363" s="27">
        <f>IF(N(I363)=0,"",ROUND(N(K363)*N(N363),2))</f>
        <v/>
      </c>
      <c r="P363" s="23" t="n"/>
      <c r="Q363" s="23" t="n"/>
      <c r="R363" s="23" t="n"/>
    </row>
    <row r="364">
      <c r="A364" s="23" t="n"/>
      <c r="B364" s="23" t="n"/>
      <c r="C364" s="24" t="n"/>
      <c r="D364" s="24" t="n"/>
      <c r="E364" s="23" t="n"/>
      <c r="F364" s="23" t="n"/>
      <c r="G364" s="23" t="n"/>
      <c r="H364" s="23" t="n"/>
      <c r="I364" s="25" t="n"/>
      <c r="J364" s="26" t="n"/>
      <c r="K364" s="27">
        <f>IF(N(I364)=0,"",ROUND(I364*J364,2))</f>
        <v/>
      </c>
      <c r="L364" s="27">
        <f>IF(N(I364)=0,"",IF(P364="SI",I364,I364+N(K364)))</f>
        <v/>
      </c>
      <c r="M364" s="23" t="n"/>
      <c r="N364" s="26" t="n"/>
      <c r="O364" s="27">
        <f>IF(N(I364)=0,"",ROUND(N(K364)*N(N364),2))</f>
        <v/>
      </c>
      <c r="P364" s="23" t="n"/>
      <c r="Q364" s="23" t="n"/>
      <c r="R364" s="23" t="n"/>
    </row>
    <row r="365">
      <c r="A365" s="23" t="n"/>
      <c r="B365" s="23" t="n"/>
      <c r="C365" s="24" t="n"/>
      <c r="D365" s="24" t="n"/>
      <c r="E365" s="23" t="n"/>
      <c r="F365" s="23" t="n"/>
      <c r="G365" s="23" t="n"/>
      <c r="H365" s="23" t="n"/>
      <c r="I365" s="25" t="n"/>
      <c r="J365" s="26" t="n"/>
      <c r="K365" s="27">
        <f>IF(N(I365)=0,"",ROUND(I365*J365,2))</f>
        <v/>
      </c>
      <c r="L365" s="27">
        <f>IF(N(I365)=0,"",IF(P365="SI",I365,I365+N(K365)))</f>
        <v/>
      </c>
      <c r="M365" s="23" t="n"/>
      <c r="N365" s="26" t="n"/>
      <c r="O365" s="27">
        <f>IF(N(I365)=0,"",ROUND(N(K365)*N(N365),2))</f>
        <v/>
      </c>
      <c r="P365" s="23" t="n"/>
      <c r="Q365" s="23" t="n"/>
      <c r="R365" s="23" t="n"/>
    </row>
    <row r="366">
      <c r="A366" s="23" t="n"/>
      <c r="B366" s="23" t="n"/>
      <c r="C366" s="24" t="n"/>
      <c r="D366" s="24" t="n"/>
      <c r="E366" s="23" t="n"/>
      <c r="F366" s="23" t="n"/>
      <c r="G366" s="23" t="n"/>
      <c r="H366" s="23" t="n"/>
      <c r="I366" s="25" t="n"/>
      <c r="J366" s="26" t="n"/>
      <c r="K366" s="27">
        <f>IF(N(I366)=0,"",ROUND(I366*J366,2))</f>
        <v/>
      </c>
      <c r="L366" s="27">
        <f>IF(N(I366)=0,"",IF(P366="SI",I366,I366+N(K366)))</f>
        <v/>
      </c>
      <c r="M366" s="23" t="n"/>
      <c r="N366" s="26" t="n"/>
      <c r="O366" s="27">
        <f>IF(N(I366)=0,"",ROUND(N(K366)*N(N366),2))</f>
        <v/>
      </c>
      <c r="P366" s="23" t="n"/>
      <c r="Q366" s="23" t="n"/>
      <c r="R366" s="23" t="n"/>
    </row>
    <row r="367">
      <c r="A367" s="23" t="n"/>
      <c r="B367" s="23" t="n"/>
      <c r="C367" s="24" t="n"/>
      <c r="D367" s="24" t="n"/>
      <c r="E367" s="23" t="n"/>
      <c r="F367" s="23" t="n"/>
      <c r="G367" s="23" t="n"/>
      <c r="H367" s="23" t="n"/>
      <c r="I367" s="25" t="n"/>
      <c r="J367" s="26" t="n"/>
      <c r="K367" s="27">
        <f>IF(N(I367)=0,"",ROUND(I367*J367,2))</f>
        <v/>
      </c>
      <c r="L367" s="27">
        <f>IF(N(I367)=0,"",IF(P367="SI",I367,I367+N(K367)))</f>
        <v/>
      </c>
      <c r="M367" s="23" t="n"/>
      <c r="N367" s="26" t="n"/>
      <c r="O367" s="27">
        <f>IF(N(I367)=0,"",ROUND(N(K367)*N(N367),2))</f>
        <v/>
      </c>
      <c r="P367" s="23" t="n"/>
      <c r="Q367" s="23" t="n"/>
      <c r="R367" s="23" t="n"/>
    </row>
    <row r="368">
      <c r="A368" s="23" t="n"/>
      <c r="B368" s="23" t="n"/>
      <c r="C368" s="24" t="n"/>
      <c r="D368" s="24" t="n"/>
      <c r="E368" s="23" t="n"/>
      <c r="F368" s="23" t="n"/>
      <c r="G368" s="23" t="n"/>
      <c r="H368" s="23" t="n"/>
      <c r="I368" s="25" t="n"/>
      <c r="J368" s="26" t="n"/>
      <c r="K368" s="27">
        <f>IF(N(I368)=0,"",ROUND(I368*J368,2))</f>
        <v/>
      </c>
      <c r="L368" s="27">
        <f>IF(N(I368)=0,"",IF(P368="SI",I368,I368+N(K368)))</f>
        <v/>
      </c>
      <c r="M368" s="23" t="n"/>
      <c r="N368" s="26" t="n"/>
      <c r="O368" s="27">
        <f>IF(N(I368)=0,"",ROUND(N(K368)*N(N368),2))</f>
        <v/>
      </c>
      <c r="P368" s="23" t="n"/>
      <c r="Q368" s="23" t="n"/>
      <c r="R368" s="23" t="n"/>
    </row>
    <row r="369">
      <c r="A369" s="23" t="n"/>
      <c r="B369" s="23" t="n"/>
      <c r="C369" s="24" t="n"/>
      <c r="D369" s="24" t="n"/>
      <c r="E369" s="23" t="n"/>
      <c r="F369" s="23" t="n"/>
      <c r="G369" s="23" t="n"/>
      <c r="H369" s="23" t="n"/>
      <c r="I369" s="25" t="n"/>
      <c r="J369" s="26" t="n"/>
      <c r="K369" s="27">
        <f>IF(N(I369)=0,"",ROUND(I369*J369,2))</f>
        <v/>
      </c>
      <c r="L369" s="27">
        <f>IF(N(I369)=0,"",IF(P369="SI",I369,I369+N(K369)))</f>
        <v/>
      </c>
      <c r="M369" s="23" t="n"/>
      <c r="N369" s="26" t="n"/>
      <c r="O369" s="27">
        <f>IF(N(I369)=0,"",ROUND(N(K369)*N(N369),2))</f>
        <v/>
      </c>
      <c r="P369" s="23" t="n"/>
      <c r="Q369" s="23" t="n"/>
      <c r="R369" s="23" t="n"/>
    </row>
    <row r="370">
      <c r="A370" s="23" t="n"/>
      <c r="B370" s="23" t="n"/>
      <c r="C370" s="24" t="n"/>
      <c r="D370" s="24" t="n"/>
      <c r="E370" s="23" t="n"/>
      <c r="F370" s="23" t="n"/>
      <c r="G370" s="23" t="n"/>
      <c r="H370" s="23" t="n"/>
      <c r="I370" s="25" t="n"/>
      <c r="J370" s="26" t="n"/>
      <c r="K370" s="27">
        <f>IF(N(I370)=0,"",ROUND(I370*J370,2))</f>
        <v/>
      </c>
      <c r="L370" s="27">
        <f>IF(N(I370)=0,"",IF(P370="SI",I370,I370+N(K370)))</f>
        <v/>
      </c>
      <c r="M370" s="23" t="n"/>
      <c r="N370" s="26" t="n"/>
      <c r="O370" s="27">
        <f>IF(N(I370)=0,"",ROUND(N(K370)*N(N370),2))</f>
        <v/>
      </c>
      <c r="P370" s="23" t="n"/>
      <c r="Q370" s="23" t="n"/>
      <c r="R370" s="23" t="n"/>
    </row>
    <row r="371">
      <c r="A371" s="23" t="n"/>
      <c r="B371" s="23" t="n"/>
      <c r="C371" s="24" t="n"/>
      <c r="D371" s="24" t="n"/>
      <c r="E371" s="23" t="n"/>
      <c r="F371" s="23" t="n"/>
      <c r="G371" s="23" t="n"/>
      <c r="H371" s="23" t="n"/>
      <c r="I371" s="25" t="n"/>
      <c r="J371" s="26" t="n"/>
      <c r="K371" s="27">
        <f>IF(N(I371)=0,"",ROUND(I371*J371,2))</f>
        <v/>
      </c>
      <c r="L371" s="27">
        <f>IF(N(I371)=0,"",IF(P371="SI",I371,I371+N(K371)))</f>
        <v/>
      </c>
      <c r="M371" s="23" t="n"/>
      <c r="N371" s="26" t="n"/>
      <c r="O371" s="27">
        <f>IF(N(I371)=0,"",ROUND(N(K371)*N(N371),2))</f>
        <v/>
      </c>
      <c r="P371" s="23" t="n"/>
      <c r="Q371" s="23" t="n"/>
      <c r="R371" s="23" t="n"/>
    </row>
    <row r="372">
      <c r="A372" s="23" t="n"/>
      <c r="B372" s="23" t="n"/>
      <c r="C372" s="24" t="n"/>
      <c r="D372" s="24" t="n"/>
      <c r="E372" s="23" t="n"/>
      <c r="F372" s="23" t="n"/>
      <c r="G372" s="23" t="n"/>
      <c r="H372" s="23" t="n"/>
      <c r="I372" s="25" t="n"/>
      <c r="J372" s="26" t="n"/>
      <c r="K372" s="27">
        <f>IF(N(I372)=0,"",ROUND(I372*J372,2))</f>
        <v/>
      </c>
      <c r="L372" s="27">
        <f>IF(N(I372)=0,"",IF(P372="SI",I372,I372+N(K372)))</f>
        <v/>
      </c>
      <c r="M372" s="23" t="n"/>
      <c r="N372" s="26" t="n"/>
      <c r="O372" s="27">
        <f>IF(N(I372)=0,"",ROUND(N(K372)*N(N372),2))</f>
        <v/>
      </c>
      <c r="P372" s="23" t="n"/>
      <c r="Q372" s="23" t="n"/>
      <c r="R372" s="23" t="n"/>
    </row>
    <row r="373">
      <c r="A373" s="23" t="n"/>
      <c r="B373" s="23" t="n"/>
      <c r="C373" s="24" t="n"/>
      <c r="D373" s="24" t="n"/>
      <c r="E373" s="23" t="n"/>
      <c r="F373" s="23" t="n"/>
      <c r="G373" s="23" t="n"/>
      <c r="H373" s="23" t="n"/>
      <c r="I373" s="25" t="n"/>
      <c r="J373" s="26" t="n"/>
      <c r="K373" s="27">
        <f>IF(N(I373)=0,"",ROUND(I373*J373,2))</f>
        <v/>
      </c>
      <c r="L373" s="27">
        <f>IF(N(I373)=0,"",IF(P373="SI",I373,I373+N(K373)))</f>
        <v/>
      </c>
      <c r="M373" s="23" t="n"/>
      <c r="N373" s="26" t="n"/>
      <c r="O373" s="27">
        <f>IF(N(I373)=0,"",ROUND(N(K373)*N(N373),2))</f>
        <v/>
      </c>
      <c r="P373" s="23" t="n"/>
      <c r="Q373" s="23" t="n"/>
      <c r="R373" s="23" t="n"/>
    </row>
    <row r="374">
      <c r="A374" s="23" t="n"/>
      <c r="B374" s="23" t="n"/>
      <c r="C374" s="24" t="n"/>
      <c r="D374" s="24" t="n"/>
      <c r="E374" s="23" t="n"/>
      <c r="F374" s="23" t="n"/>
      <c r="G374" s="23" t="n"/>
      <c r="H374" s="23" t="n"/>
      <c r="I374" s="25" t="n"/>
      <c r="J374" s="26" t="n"/>
      <c r="K374" s="27">
        <f>IF(N(I374)=0,"",ROUND(I374*J374,2))</f>
        <v/>
      </c>
      <c r="L374" s="27">
        <f>IF(N(I374)=0,"",IF(P374="SI",I374,I374+N(K374)))</f>
        <v/>
      </c>
      <c r="M374" s="23" t="n"/>
      <c r="N374" s="26" t="n"/>
      <c r="O374" s="27">
        <f>IF(N(I374)=0,"",ROUND(N(K374)*N(N374),2))</f>
        <v/>
      </c>
      <c r="P374" s="23" t="n"/>
      <c r="Q374" s="23" t="n"/>
      <c r="R374" s="23" t="n"/>
    </row>
    <row r="375">
      <c r="A375" s="23" t="n"/>
      <c r="B375" s="23" t="n"/>
      <c r="C375" s="24" t="n"/>
      <c r="D375" s="24" t="n"/>
      <c r="E375" s="23" t="n"/>
      <c r="F375" s="23" t="n"/>
      <c r="G375" s="23" t="n"/>
      <c r="H375" s="23" t="n"/>
      <c r="I375" s="25" t="n"/>
      <c r="J375" s="26" t="n"/>
      <c r="K375" s="27">
        <f>IF(N(I375)=0,"",ROUND(I375*J375,2))</f>
        <v/>
      </c>
      <c r="L375" s="27">
        <f>IF(N(I375)=0,"",IF(P375="SI",I375,I375+N(K375)))</f>
        <v/>
      </c>
      <c r="M375" s="23" t="n"/>
      <c r="N375" s="26" t="n"/>
      <c r="O375" s="27">
        <f>IF(N(I375)=0,"",ROUND(N(K375)*N(N375),2))</f>
        <v/>
      </c>
      <c r="P375" s="23" t="n"/>
      <c r="Q375" s="23" t="n"/>
      <c r="R375" s="23" t="n"/>
    </row>
    <row r="376">
      <c r="A376" s="23" t="n"/>
      <c r="B376" s="23" t="n"/>
      <c r="C376" s="24" t="n"/>
      <c r="D376" s="24" t="n"/>
      <c r="E376" s="23" t="n"/>
      <c r="F376" s="23" t="n"/>
      <c r="G376" s="23" t="n"/>
      <c r="H376" s="23" t="n"/>
      <c r="I376" s="25" t="n"/>
      <c r="J376" s="26" t="n"/>
      <c r="K376" s="27">
        <f>IF(N(I376)=0,"",ROUND(I376*J376,2))</f>
        <v/>
      </c>
      <c r="L376" s="27">
        <f>IF(N(I376)=0,"",IF(P376="SI",I376,I376+N(K376)))</f>
        <v/>
      </c>
      <c r="M376" s="23" t="n"/>
      <c r="N376" s="26" t="n"/>
      <c r="O376" s="27">
        <f>IF(N(I376)=0,"",ROUND(N(K376)*N(N376),2))</f>
        <v/>
      </c>
      <c r="P376" s="23" t="n"/>
      <c r="Q376" s="23" t="n"/>
      <c r="R376" s="23" t="n"/>
    </row>
    <row r="377">
      <c r="A377" s="23" t="n"/>
      <c r="B377" s="23" t="n"/>
      <c r="C377" s="24" t="n"/>
      <c r="D377" s="24" t="n"/>
      <c r="E377" s="23" t="n"/>
      <c r="F377" s="23" t="n"/>
      <c r="G377" s="23" t="n"/>
      <c r="H377" s="23" t="n"/>
      <c r="I377" s="25" t="n"/>
      <c r="J377" s="26" t="n"/>
      <c r="K377" s="27">
        <f>IF(N(I377)=0,"",ROUND(I377*J377,2))</f>
        <v/>
      </c>
      <c r="L377" s="27">
        <f>IF(N(I377)=0,"",IF(P377="SI",I377,I377+N(K377)))</f>
        <v/>
      </c>
      <c r="M377" s="23" t="n"/>
      <c r="N377" s="26" t="n"/>
      <c r="O377" s="27">
        <f>IF(N(I377)=0,"",ROUND(N(K377)*N(N377),2))</f>
        <v/>
      </c>
      <c r="P377" s="23" t="n"/>
      <c r="Q377" s="23" t="n"/>
      <c r="R377" s="23" t="n"/>
    </row>
    <row r="378">
      <c r="A378" s="23" t="n"/>
      <c r="B378" s="23" t="n"/>
      <c r="C378" s="24" t="n"/>
      <c r="D378" s="24" t="n"/>
      <c r="E378" s="23" t="n"/>
      <c r="F378" s="23" t="n"/>
      <c r="G378" s="23" t="n"/>
      <c r="H378" s="23" t="n"/>
      <c r="I378" s="25" t="n"/>
      <c r="J378" s="26" t="n"/>
      <c r="K378" s="27">
        <f>IF(N(I378)=0,"",ROUND(I378*J378,2))</f>
        <v/>
      </c>
      <c r="L378" s="27">
        <f>IF(N(I378)=0,"",IF(P378="SI",I378,I378+N(K378)))</f>
        <v/>
      </c>
      <c r="M378" s="23" t="n"/>
      <c r="N378" s="26" t="n"/>
      <c r="O378" s="27">
        <f>IF(N(I378)=0,"",ROUND(N(K378)*N(N378),2))</f>
        <v/>
      </c>
      <c r="P378" s="23" t="n"/>
      <c r="Q378" s="23" t="n"/>
      <c r="R378" s="23" t="n"/>
    </row>
    <row r="379">
      <c r="A379" s="23" t="n"/>
      <c r="B379" s="23" t="n"/>
      <c r="C379" s="24" t="n"/>
      <c r="D379" s="24" t="n"/>
      <c r="E379" s="23" t="n"/>
      <c r="F379" s="23" t="n"/>
      <c r="G379" s="23" t="n"/>
      <c r="H379" s="23" t="n"/>
      <c r="I379" s="25" t="n"/>
      <c r="J379" s="26" t="n"/>
      <c r="K379" s="27">
        <f>IF(N(I379)=0,"",ROUND(I379*J379,2))</f>
        <v/>
      </c>
      <c r="L379" s="27">
        <f>IF(N(I379)=0,"",IF(P379="SI",I379,I379+N(K379)))</f>
        <v/>
      </c>
      <c r="M379" s="23" t="n"/>
      <c r="N379" s="26" t="n"/>
      <c r="O379" s="27">
        <f>IF(N(I379)=0,"",ROUND(N(K379)*N(N379),2))</f>
        <v/>
      </c>
      <c r="P379" s="23" t="n"/>
      <c r="Q379" s="23" t="n"/>
      <c r="R379" s="23" t="n"/>
    </row>
    <row r="380">
      <c r="A380" s="23" t="n"/>
      <c r="B380" s="23" t="n"/>
      <c r="C380" s="24" t="n"/>
      <c r="D380" s="24" t="n"/>
      <c r="E380" s="23" t="n"/>
      <c r="F380" s="23" t="n"/>
      <c r="G380" s="23" t="n"/>
      <c r="H380" s="23" t="n"/>
      <c r="I380" s="25" t="n"/>
      <c r="J380" s="26" t="n"/>
      <c r="K380" s="27">
        <f>IF(N(I380)=0,"",ROUND(I380*J380,2))</f>
        <v/>
      </c>
      <c r="L380" s="27">
        <f>IF(N(I380)=0,"",IF(P380="SI",I380,I380+N(K380)))</f>
        <v/>
      </c>
      <c r="M380" s="23" t="n"/>
      <c r="N380" s="26" t="n"/>
      <c r="O380" s="27">
        <f>IF(N(I380)=0,"",ROUND(N(K380)*N(N380),2))</f>
        <v/>
      </c>
      <c r="P380" s="23" t="n"/>
      <c r="Q380" s="23" t="n"/>
      <c r="R380" s="23" t="n"/>
    </row>
    <row r="381">
      <c r="A381" s="23" t="n"/>
      <c r="B381" s="23" t="n"/>
      <c r="C381" s="24" t="n"/>
      <c r="D381" s="24" t="n"/>
      <c r="E381" s="23" t="n"/>
      <c r="F381" s="23" t="n"/>
      <c r="G381" s="23" t="n"/>
      <c r="H381" s="23" t="n"/>
      <c r="I381" s="25" t="n"/>
      <c r="J381" s="26" t="n"/>
      <c r="K381" s="27">
        <f>IF(N(I381)=0,"",ROUND(I381*J381,2))</f>
        <v/>
      </c>
      <c r="L381" s="27">
        <f>IF(N(I381)=0,"",IF(P381="SI",I381,I381+N(K381)))</f>
        <v/>
      </c>
      <c r="M381" s="23" t="n"/>
      <c r="N381" s="26" t="n"/>
      <c r="O381" s="27">
        <f>IF(N(I381)=0,"",ROUND(N(K381)*N(N381),2))</f>
        <v/>
      </c>
      <c r="P381" s="23" t="n"/>
      <c r="Q381" s="23" t="n"/>
      <c r="R381" s="23" t="n"/>
    </row>
    <row r="382">
      <c r="A382" s="23" t="n"/>
      <c r="B382" s="23" t="n"/>
      <c r="C382" s="24" t="n"/>
      <c r="D382" s="24" t="n"/>
      <c r="E382" s="23" t="n"/>
      <c r="F382" s="23" t="n"/>
      <c r="G382" s="23" t="n"/>
      <c r="H382" s="23" t="n"/>
      <c r="I382" s="25" t="n"/>
      <c r="J382" s="26" t="n"/>
      <c r="K382" s="27">
        <f>IF(N(I382)=0,"",ROUND(I382*J382,2))</f>
        <v/>
      </c>
      <c r="L382" s="27">
        <f>IF(N(I382)=0,"",IF(P382="SI",I382,I382+N(K382)))</f>
        <v/>
      </c>
      <c r="M382" s="23" t="n"/>
      <c r="N382" s="26" t="n"/>
      <c r="O382" s="27">
        <f>IF(N(I382)=0,"",ROUND(N(K382)*N(N382),2))</f>
        <v/>
      </c>
      <c r="P382" s="23" t="n"/>
      <c r="Q382" s="23" t="n"/>
      <c r="R382" s="23" t="n"/>
    </row>
    <row r="383">
      <c r="A383" s="23" t="n"/>
      <c r="B383" s="23" t="n"/>
      <c r="C383" s="24" t="n"/>
      <c r="D383" s="24" t="n"/>
      <c r="E383" s="23" t="n"/>
      <c r="F383" s="23" t="n"/>
      <c r="G383" s="23" t="n"/>
      <c r="H383" s="23" t="n"/>
      <c r="I383" s="25" t="n"/>
      <c r="J383" s="26" t="n"/>
      <c r="K383" s="27">
        <f>IF(N(I383)=0,"",ROUND(I383*J383,2))</f>
        <v/>
      </c>
      <c r="L383" s="27">
        <f>IF(N(I383)=0,"",IF(P383="SI",I383,I383+N(K383)))</f>
        <v/>
      </c>
      <c r="M383" s="23" t="n"/>
      <c r="N383" s="26" t="n"/>
      <c r="O383" s="27">
        <f>IF(N(I383)=0,"",ROUND(N(K383)*N(N383),2))</f>
        <v/>
      </c>
      <c r="P383" s="23" t="n"/>
      <c r="Q383" s="23" t="n"/>
      <c r="R383" s="23" t="n"/>
    </row>
    <row r="384">
      <c r="A384" s="23" t="n"/>
      <c r="B384" s="23" t="n"/>
      <c r="C384" s="24" t="n"/>
      <c r="D384" s="24" t="n"/>
      <c r="E384" s="23" t="n"/>
      <c r="F384" s="23" t="n"/>
      <c r="G384" s="23" t="n"/>
      <c r="H384" s="23" t="n"/>
      <c r="I384" s="25" t="n"/>
      <c r="J384" s="26" t="n"/>
      <c r="K384" s="27">
        <f>IF(N(I384)=0,"",ROUND(I384*J384,2))</f>
        <v/>
      </c>
      <c r="L384" s="27">
        <f>IF(N(I384)=0,"",IF(P384="SI",I384,I384+N(K384)))</f>
        <v/>
      </c>
      <c r="M384" s="23" t="n"/>
      <c r="N384" s="26" t="n"/>
      <c r="O384" s="27">
        <f>IF(N(I384)=0,"",ROUND(N(K384)*N(N384),2))</f>
        <v/>
      </c>
      <c r="P384" s="23" t="n"/>
      <c r="Q384" s="23" t="n"/>
      <c r="R384" s="23" t="n"/>
    </row>
    <row r="385">
      <c r="A385" s="23" t="n"/>
      <c r="B385" s="23" t="n"/>
      <c r="C385" s="24" t="n"/>
      <c r="D385" s="24" t="n"/>
      <c r="E385" s="23" t="n"/>
      <c r="F385" s="23" t="n"/>
      <c r="G385" s="23" t="n"/>
      <c r="H385" s="23" t="n"/>
      <c r="I385" s="25" t="n"/>
      <c r="J385" s="26" t="n"/>
      <c r="K385" s="27">
        <f>IF(N(I385)=0,"",ROUND(I385*J385,2))</f>
        <v/>
      </c>
      <c r="L385" s="27">
        <f>IF(N(I385)=0,"",IF(P385="SI",I385,I385+N(K385)))</f>
        <v/>
      </c>
      <c r="M385" s="23" t="n"/>
      <c r="N385" s="26" t="n"/>
      <c r="O385" s="27">
        <f>IF(N(I385)=0,"",ROUND(N(K385)*N(N385),2))</f>
        <v/>
      </c>
      <c r="P385" s="23" t="n"/>
      <c r="Q385" s="23" t="n"/>
      <c r="R385" s="23" t="n"/>
    </row>
    <row r="386">
      <c r="A386" s="23" t="n"/>
      <c r="B386" s="23" t="n"/>
      <c r="C386" s="24" t="n"/>
      <c r="D386" s="24" t="n"/>
      <c r="E386" s="23" t="n"/>
      <c r="F386" s="23" t="n"/>
      <c r="G386" s="23" t="n"/>
      <c r="H386" s="23" t="n"/>
      <c r="I386" s="25" t="n"/>
      <c r="J386" s="26" t="n"/>
      <c r="K386" s="27">
        <f>IF(N(I386)=0,"",ROUND(I386*J386,2))</f>
        <v/>
      </c>
      <c r="L386" s="27">
        <f>IF(N(I386)=0,"",IF(P386="SI",I386,I386+N(K386)))</f>
        <v/>
      </c>
      <c r="M386" s="23" t="n"/>
      <c r="N386" s="26" t="n"/>
      <c r="O386" s="27">
        <f>IF(N(I386)=0,"",ROUND(N(K386)*N(N386),2))</f>
        <v/>
      </c>
      <c r="P386" s="23" t="n"/>
      <c r="Q386" s="23" t="n"/>
      <c r="R386" s="23" t="n"/>
    </row>
    <row r="387">
      <c r="A387" s="23" t="n"/>
      <c r="B387" s="23" t="n"/>
      <c r="C387" s="24" t="n"/>
      <c r="D387" s="24" t="n"/>
      <c r="E387" s="23" t="n"/>
      <c r="F387" s="23" t="n"/>
      <c r="G387" s="23" t="n"/>
      <c r="H387" s="23" t="n"/>
      <c r="I387" s="25" t="n"/>
      <c r="J387" s="26" t="n"/>
      <c r="K387" s="27">
        <f>IF(N(I387)=0,"",ROUND(I387*J387,2))</f>
        <v/>
      </c>
      <c r="L387" s="27">
        <f>IF(N(I387)=0,"",IF(P387="SI",I387,I387+N(K387)))</f>
        <v/>
      </c>
      <c r="M387" s="23" t="n"/>
      <c r="N387" s="26" t="n"/>
      <c r="O387" s="27">
        <f>IF(N(I387)=0,"",ROUND(N(K387)*N(N387),2))</f>
        <v/>
      </c>
      <c r="P387" s="23" t="n"/>
      <c r="Q387" s="23" t="n"/>
      <c r="R387" s="23" t="n"/>
    </row>
    <row r="388">
      <c r="A388" s="23" t="n"/>
      <c r="B388" s="23" t="n"/>
      <c r="C388" s="24" t="n"/>
      <c r="D388" s="24" t="n"/>
      <c r="E388" s="23" t="n"/>
      <c r="F388" s="23" t="n"/>
      <c r="G388" s="23" t="n"/>
      <c r="H388" s="23" t="n"/>
      <c r="I388" s="25" t="n"/>
      <c r="J388" s="26" t="n"/>
      <c r="K388" s="27">
        <f>IF(N(I388)=0,"",ROUND(I388*J388,2))</f>
        <v/>
      </c>
      <c r="L388" s="27">
        <f>IF(N(I388)=0,"",IF(P388="SI",I388,I388+N(K388)))</f>
        <v/>
      </c>
      <c r="M388" s="23" t="n"/>
      <c r="N388" s="26" t="n"/>
      <c r="O388" s="27">
        <f>IF(N(I388)=0,"",ROUND(N(K388)*N(N388),2))</f>
        <v/>
      </c>
      <c r="P388" s="23" t="n"/>
      <c r="Q388" s="23" t="n"/>
      <c r="R388" s="23" t="n"/>
    </row>
    <row r="389">
      <c r="A389" s="23" t="n"/>
      <c r="B389" s="23" t="n"/>
      <c r="C389" s="24" t="n"/>
      <c r="D389" s="24" t="n"/>
      <c r="E389" s="23" t="n"/>
      <c r="F389" s="23" t="n"/>
      <c r="G389" s="23" t="n"/>
      <c r="H389" s="23" t="n"/>
      <c r="I389" s="25" t="n"/>
      <c r="J389" s="26" t="n"/>
      <c r="K389" s="27">
        <f>IF(N(I389)=0,"",ROUND(I389*J389,2))</f>
        <v/>
      </c>
      <c r="L389" s="27">
        <f>IF(N(I389)=0,"",IF(P389="SI",I389,I389+N(K389)))</f>
        <v/>
      </c>
      <c r="M389" s="23" t="n"/>
      <c r="N389" s="26" t="n"/>
      <c r="O389" s="27">
        <f>IF(N(I389)=0,"",ROUND(N(K389)*N(N389),2))</f>
        <v/>
      </c>
      <c r="P389" s="23" t="n"/>
      <c r="Q389" s="23" t="n"/>
      <c r="R389" s="23" t="n"/>
    </row>
    <row r="390">
      <c r="A390" s="23" t="n"/>
      <c r="B390" s="23" t="n"/>
      <c r="C390" s="24" t="n"/>
      <c r="D390" s="24" t="n"/>
      <c r="E390" s="23" t="n"/>
      <c r="F390" s="23" t="n"/>
      <c r="G390" s="23" t="n"/>
      <c r="H390" s="23" t="n"/>
      <c r="I390" s="25" t="n"/>
      <c r="J390" s="26" t="n"/>
      <c r="K390" s="27">
        <f>IF(N(I390)=0,"",ROUND(I390*J390,2))</f>
        <v/>
      </c>
      <c r="L390" s="27">
        <f>IF(N(I390)=0,"",IF(P390="SI",I390,I390+N(K390)))</f>
        <v/>
      </c>
      <c r="M390" s="23" t="n"/>
      <c r="N390" s="26" t="n"/>
      <c r="O390" s="27">
        <f>IF(N(I390)=0,"",ROUND(N(K390)*N(N390),2))</f>
        <v/>
      </c>
      <c r="P390" s="23" t="n"/>
      <c r="Q390" s="23" t="n"/>
      <c r="R390" s="23" t="n"/>
    </row>
    <row r="391">
      <c r="A391" s="23" t="n"/>
      <c r="B391" s="23" t="n"/>
      <c r="C391" s="24" t="n"/>
      <c r="D391" s="24" t="n"/>
      <c r="E391" s="23" t="n"/>
      <c r="F391" s="23" t="n"/>
      <c r="G391" s="23" t="n"/>
      <c r="H391" s="23" t="n"/>
      <c r="I391" s="25" t="n"/>
      <c r="J391" s="26" t="n"/>
      <c r="K391" s="27">
        <f>IF(N(I391)=0,"",ROUND(I391*J391,2))</f>
        <v/>
      </c>
      <c r="L391" s="27">
        <f>IF(N(I391)=0,"",IF(P391="SI",I391,I391+N(K391)))</f>
        <v/>
      </c>
      <c r="M391" s="23" t="n"/>
      <c r="N391" s="26" t="n"/>
      <c r="O391" s="27">
        <f>IF(N(I391)=0,"",ROUND(N(K391)*N(N391),2))</f>
        <v/>
      </c>
      <c r="P391" s="23" t="n"/>
      <c r="Q391" s="23" t="n"/>
      <c r="R391" s="23" t="n"/>
    </row>
    <row r="392">
      <c r="A392" s="23" t="n"/>
      <c r="B392" s="23" t="n"/>
      <c r="C392" s="24" t="n"/>
      <c r="D392" s="24" t="n"/>
      <c r="E392" s="23" t="n"/>
      <c r="F392" s="23" t="n"/>
      <c r="G392" s="23" t="n"/>
      <c r="H392" s="23" t="n"/>
      <c r="I392" s="25" t="n"/>
      <c r="J392" s="26" t="n"/>
      <c r="K392" s="27">
        <f>IF(N(I392)=0,"",ROUND(I392*J392,2))</f>
        <v/>
      </c>
      <c r="L392" s="27">
        <f>IF(N(I392)=0,"",IF(P392="SI",I392,I392+N(K392)))</f>
        <v/>
      </c>
      <c r="M392" s="23" t="n"/>
      <c r="N392" s="26" t="n"/>
      <c r="O392" s="27">
        <f>IF(N(I392)=0,"",ROUND(N(K392)*N(N392),2))</f>
        <v/>
      </c>
      <c r="P392" s="23" t="n"/>
      <c r="Q392" s="23" t="n"/>
      <c r="R392" s="23" t="n"/>
    </row>
    <row r="393">
      <c r="A393" s="23" t="n"/>
      <c r="B393" s="23" t="n"/>
      <c r="C393" s="24" t="n"/>
      <c r="D393" s="24" t="n"/>
      <c r="E393" s="23" t="n"/>
      <c r="F393" s="23" t="n"/>
      <c r="G393" s="23" t="n"/>
      <c r="H393" s="23" t="n"/>
      <c r="I393" s="25" t="n"/>
      <c r="J393" s="26" t="n"/>
      <c r="K393" s="27">
        <f>IF(N(I393)=0,"",ROUND(I393*J393,2))</f>
        <v/>
      </c>
      <c r="L393" s="27">
        <f>IF(N(I393)=0,"",IF(P393="SI",I393,I393+N(K393)))</f>
        <v/>
      </c>
      <c r="M393" s="23" t="n"/>
      <c r="N393" s="26" t="n"/>
      <c r="O393" s="27">
        <f>IF(N(I393)=0,"",ROUND(N(K393)*N(N393),2))</f>
        <v/>
      </c>
      <c r="P393" s="23" t="n"/>
      <c r="Q393" s="23" t="n"/>
      <c r="R393" s="23" t="n"/>
    </row>
    <row r="394">
      <c r="A394" s="23" t="n"/>
      <c r="B394" s="23" t="n"/>
      <c r="C394" s="24" t="n"/>
      <c r="D394" s="24" t="n"/>
      <c r="E394" s="23" t="n"/>
      <c r="F394" s="23" t="n"/>
      <c r="G394" s="23" t="n"/>
      <c r="H394" s="23" t="n"/>
      <c r="I394" s="25" t="n"/>
      <c r="J394" s="26" t="n"/>
      <c r="K394" s="27">
        <f>IF(N(I394)=0,"",ROUND(I394*J394,2))</f>
        <v/>
      </c>
      <c r="L394" s="27">
        <f>IF(N(I394)=0,"",IF(P394="SI",I394,I394+N(K394)))</f>
        <v/>
      </c>
      <c r="M394" s="23" t="n"/>
      <c r="N394" s="26" t="n"/>
      <c r="O394" s="27">
        <f>IF(N(I394)=0,"",ROUND(N(K394)*N(N394),2))</f>
        <v/>
      </c>
      <c r="P394" s="23" t="n"/>
      <c r="Q394" s="23" t="n"/>
      <c r="R394" s="23" t="n"/>
    </row>
    <row r="395">
      <c r="A395" s="23" t="n"/>
      <c r="B395" s="23" t="n"/>
      <c r="C395" s="24" t="n"/>
      <c r="D395" s="24" t="n"/>
      <c r="E395" s="23" t="n"/>
      <c r="F395" s="23" t="n"/>
      <c r="G395" s="23" t="n"/>
      <c r="H395" s="23" t="n"/>
      <c r="I395" s="25" t="n"/>
      <c r="J395" s="26" t="n"/>
      <c r="K395" s="27">
        <f>IF(N(I395)=0,"",ROUND(I395*J395,2))</f>
        <v/>
      </c>
      <c r="L395" s="27">
        <f>IF(N(I395)=0,"",IF(P395="SI",I395,I395+N(K395)))</f>
        <v/>
      </c>
      <c r="M395" s="23" t="n"/>
      <c r="N395" s="26" t="n"/>
      <c r="O395" s="27">
        <f>IF(N(I395)=0,"",ROUND(N(K395)*N(N395),2))</f>
        <v/>
      </c>
      <c r="P395" s="23" t="n"/>
      <c r="Q395" s="23" t="n"/>
      <c r="R395" s="23" t="n"/>
    </row>
    <row r="396">
      <c r="A396" s="23" t="n"/>
      <c r="B396" s="23" t="n"/>
      <c r="C396" s="24" t="n"/>
      <c r="D396" s="24" t="n"/>
      <c r="E396" s="23" t="n"/>
      <c r="F396" s="23" t="n"/>
      <c r="G396" s="23" t="n"/>
      <c r="H396" s="23" t="n"/>
      <c r="I396" s="25" t="n"/>
      <c r="J396" s="26" t="n"/>
      <c r="K396" s="27">
        <f>IF(N(I396)=0,"",ROUND(I396*J396,2))</f>
        <v/>
      </c>
      <c r="L396" s="27">
        <f>IF(N(I396)=0,"",IF(P396="SI",I396,I396+N(K396)))</f>
        <v/>
      </c>
      <c r="M396" s="23" t="n"/>
      <c r="N396" s="26" t="n"/>
      <c r="O396" s="27">
        <f>IF(N(I396)=0,"",ROUND(N(K396)*N(N396),2))</f>
        <v/>
      </c>
      <c r="P396" s="23" t="n"/>
      <c r="Q396" s="23" t="n"/>
      <c r="R396" s="23" t="n"/>
    </row>
    <row r="397">
      <c r="A397" s="23" t="n"/>
      <c r="B397" s="23" t="n"/>
      <c r="C397" s="24" t="n"/>
      <c r="D397" s="24" t="n"/>
      <c r="E397" s="23" t="n"/>
      <c r="F397" s="23" t="n"/>
      <c r="G397" s="23" t="n"/>
      <c r="H397" s="23" t="n"/>
      <c r="I397" s="25" t="n"/>
      <c r="J397" s="26" t="n"/>
      <c r="K397" s="27">
        <f>IF(N(I397)=0,"",ROUND(I397*J397,2))</f>
        <v/>
      </c>
      <c r="L397" s="27">
        <f>IF(N(I397)=0,"",IF(P397="SI",I397,I397+N(K397)))</f>
        <v/>
      </c>
      <c r="M397" s="23" t="n"/>
      <c r="N397" s="26" t="n"/>
      <c r="O397" s="27">
        <f>IF(N(I397)=0,"",ROUND(N(K397)*N(N397),2))</f>
        <v/>
      </c>
      <c r="P397" s="23" t="n"/>
      <c r="Q397" s="23" t="n"/>
      <c r="R397" s="23" t="n"/>
    </row>
    <row r="398">
      <c r="A398" s="23" t="n"/>
      <c r="B398" s="23" t="n"/>
      <c r="C398" s="24" t="n"/>
      <c r="D398" s="24" t="n"/>
      <c r="E398" s="23" t="n"/>
      <c r="F398" s="23" t="n"/>
      <c r="G398" s="23" t="n"/>
      <c r="H398" s="23" t="n"/>
      <c r="I398" s="25" t="n"/>
      <c r="J398" s="26" t="n"/>
      <c r="K398" s="27">
        <f>IF(N(I398)=0,"",ROUND(I398*J398,2))</f>
        <v/>
      </c>
      <c r="L398" s="27">
        <f>IF(N(I398)=0,"",IF(P398="SI",I398,I398+N(K398)))</f>
        <v/>
      </c>
      <c r="M398" s="23" t="n"/>
      <c r="N398" s="26" t="n"/>
      <c r="O398" s="27">
        <f>IF(N(I398)=0,"",ROUND(N(K398)*N(N398),2))</f>
        <v/>
      </c>
      <c r="P398" s="23" t="n"/>
      <c r="Q398" s="23" t="n"/>
      <c r="R398" s="23" t="n"/>
    </row>
    <row r="399">
      <c r="A399" s="23" t="n"/>
      <c r="B399" s="23" t="n"/>
      <c r="C399" s="24" t="n"/>
      <c r="D399" s="24" t="n"/>
      <c r="E399" s="23" t="n"/>
      <c r="F399" s="23" t="n"/>
      <c r="G399" s="23" t="n"/>
      <c r="H399" s="23" t="n"/>
      <c r="I399" s="25" t="n"/>
      <c r="J399" s="26" t="n"/>
      <c r="K399" s="27">
        <f>IF(N(I399)=0,"",ROUND(I399*J399,2))</f>
        <v/>
      </c>
      <c r="L399" s="27">
        <f>IF(N(I399)=0,"",IF(P399="SI",I399,I399+N(K399)))</f>
        <v/>
      </c>
      <c r="M399" s="23" t="n"/>
      <c r="N399" s="26" t="n"/>
      <c r="O399" s="27">
        <f>IF(N(I399)=0,"",ROUND(N(K399)*N(N399),2))</f>
        <v/>
      </c>
      <c r="P399" s="23" t="n"/>
      <c r="Q399" s="23" t="n"/>
      <c r="R399" s="23" t="n"/>
    </row>
    <row r="400">
      <c r="A400" s="23" t="n"/>
      <c r="B400" s="23" t="n"/>
      <c r="C400" s="24" t="n"/>
      <c r="D400" s="24" t="n"/>
      <c r="E400" s="23" t="n"/>
      <c r="F400" s="23" t="n"/>
      <c r="G400" s="23" t="n"/>
      <c r="H400" s="23" t="n"/>
      <c r="I400" s="25" t="n"/>
      <c r="J400" s="26" t="n"/>
      <c r="K400" s="27">
        <f>IF(N(I400)=0,"",ROUND(I400*J400,2))</f>
        <v/>
      </c>
      <c r="L400" s="27">
        <f>IF(N(I400)=0,"",IF(P400="SI",I400,I400+N(K400)))</f>
        <v/>
      </c>
      <c r="M400" s="23" t="n"/>
      <c r="N400" s="26" t="n"/>
      <c r="O400" s="27">
        <f>IF(N(I400)=0,"",ROUND(N(K400)*N(N400),2))</f>
        <v/>
      </c>
      <c r="P400" s="23" t="n"/>
      <c r="Q400" s="23" t="n"/>
      <c r="R400" s="23" t="n"/>
    </row>
    <row r="401">
      <c r="A401" s="23" t="n"/>
      <c r="B401" s="23" t="n"/>
      <c r="C401" s="24" t="n"/>
      <c r="D401" s="24" t="n"/>
      <c r="E401" s="23" t="n"/>
      <c r="F401" s="23" t="n"/>
      <c r="G401" s="23" t="n"/>
      <c r="H401" s="23" t="n"/>
      <c r="I401" s="25" t="n"/>
      <c r="J401" s="26" t="n"/>
      <c r="K401" s="27">
        <f>IF(N(I401)=0,"",ROUND(I401*J401,2))</f>
        <v/>
      </c>
      <c r="L401" s="27">
        <f>IF(N(I401)=0,"",IF(P401="SI",I401,I401+N(K401)))</f>
        <v/>
      </c>
      <c r="M401" s="23" t="n"/>
      <c r="N401" s="26" t="n"/>
      <c r="O401" s="27">
        <f>IF(N(I401)=0,"",ROUND(N(K401)*N(N401),2))</f>
        <v/>
      </c>
      <c r="P401" s="23" t="n"/>
      <c r="Q401" s="23" t="n"/>
      <c r="R401" s="23" t="n"/>
    </row>
    <row r="402">
      <c r="A402" s="23" t="n"/>
      <c r="B402" s="23" t="n"/>
      <c r="C402" s="24" t="n"/>
      <c r="D402" s="24" t="n"/>
      <c r="E402" s="23" t="n"/>
      <c r="F402" s="23" t="n"/>
      <c r="G402" s="23" t="n"/>
      <c r="H402" s="23" t="n"/>
      <c r="I402" s="25" t="n"/>
      <c r="J402" s="26" t="n"/>
      <c r="K402" s="27">
        <f>IF(N(I402)=0,"",ROUND(I402*J402,2))</f>
        <v/>
      </c>
      <c r="L402" s="27">
        <f>IF(N(I402)=0,"",IF(P402="SI",I402,I402+N(K402)))</f>
        <v/>
      </c>
      <c r="M402" s="23" t="n"/>
      <c r="N402" s="26" t="n"/>
      <c r="O402" s="27">
        <f>IF(N(I402)=0,"",ROUND(N(K402)*N(N402),2))</f>
        <v/>
      </c>
      <c r="P402" s="23" t="n"/>
      <c r="Q402" s="23" t="n"/>
      <c r="R402" s="23" t="n"/>
    </row>
    <row r="403">
      <c r="A403" s="23" t="n"/>
      <c r="B403" s="23" t="n"/>
      <c r="C403" s="24" t="n"/>
      <c r="D403" s="24" t="n"/>
      <c r="E403" s="23" t="n"/>
      <c r="F403" s="23" t="n"/>
      <c r="G403" s="23" t="n"/>
      <c r="H403" s="23" t="n"/>
      <c r="I403" s="25" t="n"/>
      <c r="J403" s="26" t="n"/>
      <c r="K403" s="27">
        <f>IF(N(I403)=0,"",ROUND(I403*J403,2))</f>
        <v/>
      </c>
      <c r="L403" s="27">
        <f>IF(N(I403)=0,"",IF(P403="SI",I403,I403+N(K403)))</f>
        <v/>
      </c>
      <c r="M403" s="23" t="n"/>
      <c r="N403" s="26" t="n"/>
      <c r="O403" s="27">
        <f>IF(N(I403)=0,"",ROUND(N(K403)*N(N403),2))</f>
        <v/>
      </c>
      <c r="P403" s="23" t="n"/>
      <c r="Q403" s="23" t="n"/>
      <c r="R403" s="23" t="n"/>
    </row>
    <row r="404">
      <c r="A404" s="23" t="n"/>
      <c r="B404" s="23" t="n"/>
      <c r="C404" s="24" t="n"/>
      <c r="D404" s="24" t="n"/>
      <c r="E404" s="23" t="n"/>
      <c r="F404" s="23" t="n"/>
      <c r="G404" s="23" t="n"/>
      <c r="H404" s="23" t="n"/>
      <c r="I404" s="25" t="n"/>
      <c r="J404" s="26" t="n"/>
      <c r="K404" s="27">
        <f>IF(N(I404)=0,"",ROUND(I404*J404,2))</f>
        <v/>
      </c>
      <c r="L404" s="27">
        <f>IF(N(I404)=0,"",IF(P404="SI",I404,I404+N(K404)))</f>
        <v/>
      </c>
      <c r="M404" s="23" t="n"/>
      <c r="N404" s="26" t="n"/>
      <c r="O404" s="27">
        <f>IF(N(I404)=0,"",ROUND(N(K404)*N(N404),2))</f>
        <v/>
      </c>
      <c r="P404" s="23" t="n"/>
      <c r="Q404" s="23" t="n"/>
      <c r="R404" s="23" t="n"/>
    </row>
    <row r="406">
      <c r="F406" s="2" t="inlineStr">
        <is>
          <t>% DEDUC.: 1 = 100%. Vehículos de turismo, 0,5 salvo prueba de afectación exclusiva. Atenciones a clientes y regalos, 0.</t>
        </is>
      </c>
    </row>
  </sheetData>
  <dataValidations count="4">
    <dataValidation sqref="A5:A404" showDropDown="0" showInputMessage="0" showErrorMessage="0" allowBlank="1" type="list">
      <formula1>"RP,PROIM"</formula1>
    </dataValidation>
    <dataValidation sqref="B5:B404" showDropDown="0" showInputMessage="0" showErrorMessage="0" allowBlank="1" type="list">
      <formula1>"07,08,09"</formula1>
    </dataValidation>
    <dataValidation sqref="P5:P404" showDropDown="0" showInputMessage="0" showErrorMessage="0" allowBlank="1" type="list">
      <formula1>"SI,NO"</formula1>
    </dataValidation>
    <dataValidation sqref="Q5:Q404" showDropDown="0" showInputMessage="0" showErrorMessage="0" allowBlank="1" type="list">
      <formula1>"SI,NO"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40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8" customWidth="1" min="3" max="3"/>
    <col width="12" customWidth="1" min="4" max="4"/>
    <col width="18" customWidth="1" min="5" max="5"/>
    <col width="52" customWidth="1" min="6" max="6"/>
    <col width="14" customWidth="1" min="7" max="7"/>
    <col width="14" customWidth="1" min="8" max="8"/>
    <col width="15" customWidth="1" min="9" max="9"/>
    <col width="42" customWidth="1" min="10" max="10"/>
    <col width="10" customWidth="1" min="11" max="11"/>
    <col width="10" customWidth="1" min="12" max="12"/>
  </cols>
  <sheetData>
    <row r="1">
      <c r="A1" s="1" t="inlineStr">
        <is>
          <t>Movimientos de banco — 3T 2026</t>
        </is>
      </c>
    </row>
    <row r="2">
      <c r="A2" s="2" t="inlineStr">
        <is>
          <t>Sale de los extractos definitivos. La contrapartida la rellena /conciliar-*; lo que no se sepa, a la cuenta de dudas.</t>
        </is>
      </c>
    </row>
    <row r="4" ht="30" customHeight="1">
      <c r="A4" s="10" t="inlineStr">
        <is>
          <t>EMPRESA</t>
        </is>
      </c>
      <c r="B4" s="10" t="inlineStr">
        <is>
          <t>CUENTA 572</t>
        </is>
      </c>
      <c r="C4" s="10" t="inlineStr">
        <is>
          <t>MES</t>
        </is>
      </c>
      <c r="D4" s="10" t="inlineStr">
        <is>
          <t>FECHA</t>
        </is>
      </c>
      <c r="E4" s="10" t="inlineStr">
        <is>
          <t>CATEGORÍA</t>
        </is>
      </c>
      <c r="F4" s="10" t="inlineStr">
        <is>
          <t>DESCRIPCIÓN</t>
        </is>
      </c>
      <c r="G4" s="10" t="inlineStr">
        <is>
          <t>IMPORTE</t>
        </is>
      </c>
      <c r="H4" s="10" t="inlineStr">
        <is>
          <t>SALDO</t>
        </is>
      </c>
      <c r="I4" s="10" t="inlineStr">
        <is>
          <t>CONTRAPARTIDA</t>
        </is>
      </c>
      <c r="J4" s="10" t="inlineStr">
        <is>
          <t>MOTIVO</t>
        </is>
      </c>
      <c r="K4" s="10" t="inlineStr">
        <is>
          <t>COLOR</t>
        </is>
      </c>
      <c r="L4" s="10" t="inlineStr">
        <is>
          <t>PAPEL</t>
        </is>
      </c>
    </row>
    <row r="5">
      <c r="A5" s="23" t="n"/>
      <c r="B5" s="23" t="n"/>
      <c r="C5" s="23" t="n"/>
      <c r="D5" s="24" t="n"/>
      <c r="E5" s="23" t="n"/>
      <c r="F5" s="23" t="n"/>
      <c r="G5" s="25" t="n"/>
      <c r="H5" s="25" t="n"/>
      <c r="I5" s="23" t="n"/>
      <c r="J5" s="23" t="n"/>
      <c r="K5" s="23" t="n"/>
      <c r="L5" s="23" t="n"/>
    </row>
    <row r="6">
      <c r="A6" s="23" t="n"/>
      <c r="B6" s="23" t="n"/>
      <c r="C6" s="23" t="n"/>
      <c r="D6" s="24" t="n"/>
      <c r="E6" s="23" t="n"/>
      <c r="F6" s="23" t="n"/>
      <c r="G6" s="25" t="n"/>
      <c r="H6" s="25" t="n"/>
      <c r="I6" s="23" t="n"/>
      <c r="J6" s="23" t="n"/>
      <c r="K6" s="23" t="n"/>
      <c r="L6" s="23" t="n"/>
    </row>
    <row r="7">
      <c r="A7" s="23" t="n"/>
      <c r="B7" s="23" t="n"/>
      <c r="C7" s="23" t="n"/>
      <c r="D7" s="24" t="n"/>
      <c r="E7" s="23" t="n"/>
      <c r="F7" s="23" t="n"/>
      <c r="G7" s="25" t="n"/>
      <c r="H7" s="25" t="n"/>
      <c r="I7" s="23" t="n"/>
      <c r="J7" s="23" t="n"/>
      <c r="K7" s="23" t="n"/>
      <c r="L7" s="23" t="n"/>
    </row>
    <row r="8">
      <c r="A8" s="23" t="n"/>
      <c r="B8" s="23" t="n"/>
      <c r="C8" s="23" t="n"/>
      <c r="D8" s="24" t="n"/>
      <c r="E8" s="23" t="n"/>
      <c r="F8" s="23" t="n"/>
      <c r="G8" s="25" t="n"/>
      <c r="H8" s="25" t="n"/>
      <c r="I8" s="23" t="n"/>
      <c r="J8" s="23" t="n"/>
      <c r="K8" s="23" t="n"/>
      <c r="L8" s="23" t="n"/>
    </row>
    <row r="9">
      <c r="A9" s="23" t="n"/>
      <c r="B9" s="23" t="n"/>
      <c r="C9" s="23" t="n"/>
      <c r="D9" s="24" t="n"/>
      <c r="E9" s="23" t="n"/>
      <c r="F9" s="23" t="n"/>
      <c r="G9" s="25" t="n"/>
      <c r="H9" s="25" t="n"/>
      <c r="I9" s="23" t="n"/>
      <c r="J9" s="23" t="n"/>
      <c r="K9" s="23" t="n"/>
      <c r="L9" s="23" t="n"/>
    </row>
    <row r="10">
      <c r="A10" s="23" t="n"/>
      <c r="B10" s="23" t="n"/>
      <c r="C10" s="23" t="n"/>
      <c r="D10" s="24" t="n"/>
      <c r="E10" s="23" t="n"/>
      <c r="F10" s="23" t="n"/>
      <c r="G10" s="25" t="n"/>
      <c r="H10" s="25" t="n"/>
      <c r="I10" s="23" t="n"/>
      <c r="J10" s="23" t="n"/>
      <c r="K10" s="23" t="n"/>
      <c r="L10" s="23" t="n"/>
    </row>
    <row r="11">
      <c r="A11" s="23" t="n"/>
      <c r="B11" s="23" t="n"/>
      <c r="C11" s="23" t="n"/>
      <c r="D11" s="24" t="n"/>
      <c r="E11" s="23" t="n"/>
      <c r="F11" s="23" t="n"/>
      <c r="G11" s="25" t="n"/>
      <c r="H11" s="25" t="n"/>
      <c r="I11" s="23" t="n"/>
      <c r="J11" s="23" t="n"/>
      <c r="K11" s="23" t="n"/>
      <c r="L11" s="23" t="n"/>
    </row>
    <row r="12">
      <c r="A12" s="23" t="n"/>
      <c r="B12" s="23" t="n"/>
      <c r="C12" s="23" t="n"/>
      <c r="D12" s="24" t="n"/>
      <c r="E12" s="23" t="n"/>
      <c r="F12" s="23" t="n"/>
      <c r="G12" s="25" t="n"/>
      <c r="H12" s="25" t="n"/>
      <c r="I12" s="23" t="n"/>
      <c r="J12" s="23" t="n"/>
      <c r="K12" s="23" t="n"/>
      <c r="L12" s="23" t="n"/>
    </row>
    <row r="13">
      <c r="A13" s="23" t="n"/>
      <c r="B13" s="23" t="n"/>
      <c r="C13" s="23" t="n"/>
      <c r="D13" s="24" t="n"/>
      <c r="E13" s="23" t="n"/>
      <c r="F13" s="23" t="n"/>
      <c r="G13" s="25" t="n"/>
      <c r="H13" s="25" t="n"/>
      <c r="I13" s="23" t="n"/>
      <c r="J13" s="23" t="n"/>
      <c r="K13" s="23" t="n"/>
      <c r="L13" s="23" t="n"/>
    </row>
    <row r="14">
      <c r="A14" s="23" t="n"/>
      <c r="B14" s="23" t="n"/>
      <c r="C14" s="23" t="n"/>
      <c r="D14" s="24" t="n"/>
      <c r="E14" s="23" t="n"/>
      <c r="F14" s="23" t="n"/>
      <c r="G14" s="25" t="n"/>
      <c r="H14" s="25" t="n"/>
      <c r="I14" s="23" t="n"/>
      <c r="J14" s="23" t="n"/>
      <c r="K14" s="23" t="n"/>
      <c r="L14" s="23" t="n"/>
    </row>
    <row r="15">
      <c r="A15" s="23" t="n"/>
      <c r="B15" s="23" t="n"/>
      <c r="C15" s="23" t="n"/>
      <c r="D15" s="24" t="n"/>
      <c r="E15" s="23" t="n"/>
      <c r="F15" s="23" t="n"/>
      <c r="G15" s="25" t="n"/>
      <c r="H15" s="25" t="n"/>
      <c r="I15" s="23" t="n"/>
      <c r="J15" s="23" t="n"/>
      <c r="K15" s="23" t="n"/>
      <c r="L15" s="23" t="n"/>
    </row>
    <row r="16">
      <c r="A16" s="23" t="n"/>
      <c r="B16" s="23" t="n"/>
      <c r="C16" s="23" t="n"/>
      <c r="D16" s="24" t="n"/>
      <c r="E16" s="23" t="n"/>
      <c r="F16" s="23" t="n"/>
      <c r="G16" s="25" t="n"/>
      <c r="H16" s="25" t="n"/>
      <c r="I16" s="23" t="n"/>
      <c r="J16" s="23" t="n"/>
      <c r="K16" s="23" t="n"/>
      <c r="L16" s="23" t="n"/>
    </row>
    <row r="17">
      <c r="A17" s="23" t="n"/>
      <c r="B17" s="23" t="n"/>
      <c r="C17" s="23" t="n"/>
      <c r="D17" s="24" t="n"/>
      <c r="E17" s="23" t="n"/>
      <c r="F17" s="23" t="n"/>
      <c r="G17" s="25" t="n"/>
      <c r="H17" s="25" t="n"/>
      <c r="I17" s="23" t="n"/>
      <c r="J17" s="23" t="n"/>
      <c r="K17" s="23" t="n"/>
      <c r="L17" s="23" t="n"/>
    </row>
    <row r="18">
      <c r="A18" s="23" t="n"/>
      <c r="B18" s="23" t="n"/>
      <c r="C18" s="23" t="n"/>
      <c r="D18" s="24" t="n"/>
      <c r="E18" s="23" t="n"/>
      <c r="F18" s="23" t="n"/>
      <c r="G18" s="25" t="n"/>
      <c r="H18" s="25" t="n"/>
      <c r="I18" s="23" t="n"/>
      <c r="J18" s="23" t="n"/>
      <c r="K18" s="23" t="n"/>
      <c r="L18" s="23" t="n"/>
    </row>
    <row r="19">
      <c r="A19" s="23" t="n"/>
      <c r="B19" s="23" t="n"/>
      <c r="C19" s="23" t="n"/>
      <c r="D19" s="24" t="n"/>
      <c r="E19" s="23" t="n"/>
      <c r="F19" s="23" t="n"/>
      <c r="G19" s="25" t="n"/>
      <c r="H19" s="25" t="n"/>
      <c r="I19" s="23" t="n"/>
      <c r="J19" s="23" t="n"/>
      <c r="K19" s="23" t="n"/>
      <c r="L19" s="23" t="n"/>
    </row>
    <row r="20">
      <c r="A20" s="23" t="n"/>
      <c r="B20" s="23" t="n"/>
      <c r="C20" s="23" t="n"/>
      <c r="D20" s="24" t="n"/>
      <c r="E20" s="23" t="n"/>
      <c r="F20" s="23" t="n"/>
      <c r="G20" s="25" t="n"/>
      <c r="H20" s="25" t="n"/>
      <c r="I20" s="23" t="n"/>
      <c r="J20" s="23" t="n"/>
      <c r="K20" s="23" t="n"/>
      <c r="L20" s="23" t="n"/>
    </row>
    <row r="21">
      <c r="A21" s="23" t="n"/>
      <c r="B21" s="23" t="n"/>
      <c r="C21" s="23" t="n"/>
      <c r="D21" s="24" t="n"/>
      <c r="E21" s="23" t="n"/>
      <c r="F21" s="23" t="n"/>
      <c r="G21" s="25" t="n"/>
      <c r="H21" s="25" t="n"/>
      <c r="I21" s="23" t="n"/>
      <c r="J21" s="23" t="n"/>
      <c r="K21" s="23" t="n"/>
      <c r="L21" s="23" t="n"/>
    </row>
    <row r="22">
      <c r="A22" s="23" t="n"/>
      <c r="B22" s="23" t="n"/>
      <c r="C22" s="23" t="n"/>
      <c r="D22" s="24" t="n"/>
      <c r="E22" s="23" t="n"/>
      <c r="F22" s="23" t="n"/>
      <c r="G22" s="25" t="n"/>
      <c r="H22" s="25" t="n"/>
      <c r="I22" s="23" t="n"/>
      <c r="J22" s="23" t="n"/>
      <c r="K22" s="23" t="n"/>
      <c r="L22" s="23" t="n"/>
    </row>
    <row r="23">
      <c r="A23" s="23" t="n"/>
      <c r="B23" s="23" t="n"/>
      <c r="C23" s="23" t="n"/>
      <c r="D23" s="24" t="n"/>
      <c r="E23" s="23" t="n"/>
      <c r="F23" s="23" t="n"/>
      <c r="G23" s="25" t="n"/>
      <c r="H23" s="25" t="n"/>
      <c r="I23" s="23" t="n"/>
      <c r="J23" s="23" t="n"/>
      <c r="K23" s="23" t="n"/>
      <c r="L23" s="23" t="n"/>
    </row>
    <row r="24">
      <c r="A24" s="23" t="n"/>
      <c r="B24" s="23" t="n"/>
      <c r="C24" s="23" t="n"/>
      <c r="D24" s="24" t="n"/>
      <c r="E24" s="23" t="n"/>
      <c r="F24" s="23" t="n"/>
      <c r="G24" s="25" t="n"/>
      <c r="H24" s="25" t="n"/>
      <c r="I24" s="23" t="n"/>
      <c r="J24" s="23" t="n"/>
      <c r="K24" s="23" t="n"/>
      <c r="L24" s="23" t="n"/>
    </row>
    <row r="25">
      <c r="A25" s="23" t="n"/>
      <c r="B25" s="23" t="n"/>
      <c r="C25" s="23" t="n"/>
      <c r="D25" s="24" t="n"/>
      <c r="E25" s="23" t="n"/>
      <c r="F25" s="23" t="n"/>
      <c r="G25" s="25" t="n"/>
      <c r="H25" s="25" t="n"/>
      <c r="I25" s="23" t="n"/>
      <c r="J25" s="23" t="n"/>
      <c r="K25" s="23" t="n"/>
      <c r="L25" s="23" t="n"/>
    </row>
    <row r="26">
      <c r="A26" s="23" t="n"/>
      <c r="B26" s="23" t="n"/>
      <c r="C26" s="23" t="n"/>
      <c r="D26" s="24" t="n"/>
      <c r="E26" s="23" t="n"/>
      <c r="F26" s="23" t="n"/>
      <c r="G26" s="25" t="n"/>
      <c r="H26" s="25" t="n"/>
      <c r="I26" s="23" t="n"/>
      <c r="J26" s="23" t="n"/>
      <c r="K26" s="23" t="n"/>
      <c r="L26" s="23" t="n"/>
    </row>
    <row r="27">
      <c r="A27" s="23" t="n"/>
      <c r="B27" s="23" t="n"/>
      <c r="C27" s="23" t="n"/>
      <c r="D27" s="24" t="n"/>
      <c r="E27" s="23" t="n"/>
      <c r="F27" s="23" t="n"/>
      <c r="G27" s="25" t="n"/>
      <c r="H27" s="25" t="n"/>
      <c r="I27" s="23" t="n"/>
      <c r="J27" s="23" t="n"/>
      <c r="K27" s="23" t="n"/>
      <c r="L27" s="23" t="n"/>
    </row>
    <row r="28">
      <c r="A28" s="23" t="n"/>
      <c r="B28" s="23" t="n"/>
      <c r="C28" s="23" t="n"/>
      <c r="D28" s="24" t="n"/>
      <c r="E28" s="23" t="n"/>
      <c r="F28" s="23" t="n"/>
      <c r="G28" s="25" t="n"/>
      <c r="H28" s="25" t="n"/>
      <c r="I28" s="23" t="n"/>
      <c r="J28" s="23" t="n"/>
      <c r="K28" s="23" t="n"/>
      <c r="L28" s="23" t="n"/>
    </row>
    <row r="29">
      <c r="A29" s="23" t="n"/>
      <c r="B29" s="23" t="n"/>
      <c r="C29" s="23" t="n"/>
      <c r="D29" s="24" t="n"/>
      <c r="E29" s="23" t="n"/>
      <c r="F29" s="23" t="n"/>
      <c r="G29" s="25" t="n"/>
      <c r="H29" s="25" t="n"/>
      <c r="I29" s="23" t="n"/>
      <c r="J29" s="23" t="n"/>
      <c r="K29" s="23" t="n"/>
      <c r="L29" s="23" t="n"/>
    </row>
    <row r="30">
      <c r="A30" s="23" t="n"/>
      <c r="B30" s="23" t="n"/>
      <c r="C30" s="23" t="n"/>
      <c r="D30" s="24" t="n"/>
      <c r="E30" s="23" t="n"/>
      <c r="F30" s="23" t="n"/>
      <c r="G30" s="25" t="n"/>
      <c r="H30" s="25" t="n"/>
      <c r="I30" s="23" t="n"/>
      <c r="J30" s="23" t="n"/>
      <c r="K30" s="23" t="n"/>
      <c r="L30" s="23" t="n"/>
    </row>
    <row r="31">
      <c r="A31" s="23" t="n"/>
      <c r="B31" s="23" t="n"/>
      <c r="C31" s="23" t="n"/>
      <c r="D31" s="24" t="n"/>
      <c r="E31" s="23" t="n"/>
      <c r="F31" s="23" t="n"/>
      <c r="G31" s="25" t="n"/>
      <c r="H31" s="25" t="n"/>
      <c r="I31" s="23" t="n"/>
      <c r="J31" s="23" t="n"/>
      <c r="K31" s="23" t="n"/>
      <c r="L31" s="23" t="n"/>
    </row>
    <row r="32">
      <c r="A32" s="23" t="n"/>
      <c r="B32" s="23" t="n"/>
      <c r="C32" s="23" t="n"/>
      <c r="D32" s="24" t="n"/>
      <c r="E32" s="23" t="n"/>
      <c r="F32" s="23" t="n"/>
      <c r="G32" s="25" t="n"/>
      <c r="H32" s="25" t="n"/>
      <c r="I32" s="23" t="n"/>
      <c r="J32" s="23" t="n"/>
      <c r="K32" s="23" t="n"/>
      <c r="L32" s="23" t="n"/>
    </row>
    <row r="33">
      <c r="A33" s="23" t="n"/>
      <c r="B33" s="23" t="n"/>
      <c r="C33" s="23" t="n"/>
      <c r="D33" s="24" t="n"/>
      <c r="E33" s="23" t="n"/>
      <c r="F33" s="23" t="n"/>
      <c r="G33" s="25" t="n"/>
      <c r="H33" s="25" t="n"/>
      <c r="I33" s="23" t="n"/>
      <c r="J33" s="23" t="n"/>
      <c r="K33" s="23" t="n"/>
      <c r="L33" s="23" t="n"/>
    </row>
    <row r="34">
      <c r="A34" s="23" t="n"/>
      <c r="B34" s="23" t="n"/>
      <c r="C34" s="23" t="n"/>
      <c r="D34" s="24" t="n"/>
      <c r="E34" s="23" t="n"/>
      <c r="F34" s="23" t="n"/>
      <c r="G34" s="25" t="n"/>
      <c r="H34" s="25" t="n"/>
      <c r="I34" s="23" t="n"/>
      <c r="J34" s="23" t="n"/>
      <c r="K34" s="23" t="n"/>
      <c r="L34" s="23" t="n"/>
    </row>
    <row r="35">
      <c r="A35" s="23" t="n"/>
      <c r="B35" s="23" t="n"/>
      <c r="C35" s="23" t="n"/>
      <c r="D35" s="24" t="n"/>
      <c r="E35" s="23" t="n"/>
      <c r="F35" s="23" t="n"/>
      <c r="G35" s="25" t="n"/>
      <c r="H35" s="25" t="n"/>
      <c r="I35" s="23" t="n"/>
      <c r="J35" s="23" t="n"/>
      <c r="K35" s="23" t="n"/>
      <c r="L35" s="23" t="n"/>
    </row>
    <row r="36">
      <c r="A36" s="23" t="n"/>
      <c r="B36" s="23" t="n"/>
      <c r="C36" s="23" t="n"/>
      <c r="D36" s="24" t="n"/>
      <c r="E36" s="23" t="n"/>
      <c r="F36" s="23" t="n"/>
      <c r="G36" s="25" t="n"/>
      <c r="H36" s="25" t="n"/>
      <c r="I36" s="23" t="n"/>
      <c r="J36" s="23" t="n"/>
      <c r="K36" s="23" t="n"/>
      <c r="L36" s="23" t="n"/>
    </row>
    <row r="37">
      <c r="A37" s="23" t="n"/>
      <c r="B37" s="23" t="n"/>
      <c r="C37" s="23" t="n"/>
      <c r="D37" s="24" t="n"/>
      <c r="E37" s="23" t="n"/>
      <c r="F37" s="23" t="n"/>
      <c r="G37" s="25" t="n"/>
      <c r="H37" s="25" t="n"/>
      <c r="I37" s="23" t="n"/>
      <c r="J37" s="23" t="n"/>
      <c r="K37" s="23" t="n"/>
      <c r="L37" s="23" t="n"/>
    </row>
    <row r="38">
      <c r="A38" s="23" t="n"/>
      <c r="B38" s="23" t="n"/>
      <c r="C38" s="23" t="n"/>
      <c r="D38" s="24" t="n"/>
      <c r="E38" s="23" t="n"/>
      <c r="F38" s="23" t="n"/>
      <c r="G38" s="25" t="n"/>
      <c r="H38" s="25" t="n"/>
      <c r="I38" s="23" t="n"/>
      <c r="J38" s="23" t="n"/>
      <c r="K38" s="23" t="n"/>
      <c r="L38" s="23" t="n"/>
    </row>
    <row r="39">
      <c r="A39" s="23" t="n"/>
      <c r="B39" s="23" t="n"/>
      <c r="C39" s="23" t="n"/>
      <c r="D39" s="24" t="n"/>
      <c r="E39" s="23" t="n"/>
      <c r="F39" s="23" t="n"/>
      <c r="G39" s="25" t="n"/>
      <c r="H39" s="25" t="n"/>
      <c r="I39" s="23" t="n"/>
      <c r="J39" s="23" t="n"/>
      <c r="K39" s="23" t="n"/>
      <c r="L39" s="23" t="n"/>
    </row>
    <row r="40">
      <c r="A40" s="23" t="n"/>
      <c r="B40" s="23" t="n"/>
      <c r="C40" s="23" t="n"/>
      <c r="D40" s="24" t="n"/>
      <c r="E40" s="23" t="n"/>
      <c r="F40" s="23" t="n"/>
      <c r="G40" s="25" t="n"/>
      <c r="H40" s="25" t="n"/>
      <c r="I40" s="23" t="n"/>
      <c r="J40" s="23" t="n"/>
      <c r="K40" s="23" t="n"/>
      <c r="L40" s="23" t="n"/>
    </row>
    <row r="41">
      <c r="A41" s="23" t="n"/>
      <c r="B41" s="23" t="n"/>
      <c r="C41" s="23" t="n"/>
      <c r="D41" s="24" t="n"/>
      <c r="E41" s="23" t="n"/>
      <c r="F41" s="23" t="n"/>
      <c r="G41" s="25" t="n"/>
      <c r="H41" s="25" t="n"/>
      <c r="I41" s="23" t="n"/>
      <c r="J41" s="23" t="n"/>
      <c r="K41" s="23" t="n"/>
      <c r="L41" s="23" t="n"/>
    </row>
    <row r="42">
      <c r="A42" s="23" t="n"/>
      <c r="B42" s="23" t="n"/>
      <c r="C42" s="23" t="n"/>
      <c r="D42" s="24" t="n"/>
      <c r="E42" s="23" t="n"/>
      <c r="F42" s="23" t="n"/>
      <c r="G42" s="25" t="n"/>
      <c r="H42" s="25" t="n"/>
      <c r="I42" s="23" t="n"/>
      <c r="J42" s="23" t="n"/>
      <c r="K42" s="23" t="n"/>
      <c r="L42" s="23" t="n"/>
    </row>
    <row r="43">
      <c r="A43" s="23" t="n"/>
      <c r="B43" s="23" t="n"/>
      <c r="C43" s="23" t="n"/>
      <c r="D43" s="24" t="n"/>
      <c r="E43" s="23" t="n"/>
      <c r="F43" s="23" t="n"/>
      <c r="G43" s="25" t="n"/>
      <c r="H43" s="25" t="n"/>
      <c r="I43" s="23" t="n"/>
      <c r="J43" s="23" t="n"/>
      <c r="K43" s="23" t="n"/>
      <c r="L43" s="23" t="n"/>
    </row>
    <row r="44">
      <c r="A44" s="23" t="n"/>
      <c r="B44" s="23" t="n"/>
      <c r="C44" s="23" t="n"/>
      <c r="D44" s="24" t="n"/>
      <c r="E44" s="23" t="n"/>
      <c r="F44" s="23" t="n"/>
      <c r="G44" s="25" t="n"/>
      <c r="H44" s="25" t="n"/>
      <c r="I44" s="23" t="n"/>
      <c r="J44" s="23" t="n"/>
      <c r="K44" s="23" t="n"/>
      <c r="L44" s="23" t="n"/>
    </row>
    <row r="45">
      <c r="A45" s="23" t="n"/>
      <c r="B45" s="23" t="n"/>
      <c r="C45" s="23" t="n"/>
      <c r="D45" s="24" t="n"/>
      <c r="E45" s="23" t="n"/>
      <c r="F45" s="23" t="n"/>
      <c r="G45" s="25" t="n"/>
      <c r="H45" s="25" t="n"/>
      <c r="I45" s="23" t="n"/>
      <c r="J45" s="23" t="n"/>
      <c r="K45" s="23" t="n"/>
      <c r="L45" s="23" t="n"/>
    </row>
    <row r="46">
      <c r="A46" s="23" t="n"/>
      <c r="B46" s="23" t="n"/>
      <c r="C46" s="23" t="n"/>
      <c r="D46" s="24" t="n"/>
      <c r="E46" s="23" t="n"/>
      <c r="F46" s="23" t="n"/>
      <c r="G46" s="25" t="n"/>
      <c r="H46" s="25" t="n"/>
      <c r="I46" s="23" t="n"/>
      <c r="J46" s="23" t="n"/>
      <c r="K46" s="23" t="n"/>
      <c r="L46" s="23" t="n"/>
    </row>
    <row r="47">
      <c r="A47" s="23" t="n"/>
      <c r="B47" s="23" t="n"/>
      <c r="C47" s="23" t="n"/>
      <c r="D47" s="24" t="n"/>
      <c r="E47" s="23" t="n"/>
      <c r="F47" s="23" t="n"/>
      <c r="G47" s="25" t="n"/>
      <c r="H47" s="25" t="n"/>
      <c r="I47" s="23" t="n"/>
      <c r="J47" s="23" t="n"/>
      <c r="K47" s="23" t="n"/>
      <c r="L47" s="23" t="n"/>
    </row>
    <row r="48">
      <c r="A48" s="23" t="n"/>
      <c r="B48" s="23" t="n"/>
      <c r="C48" s="23" t="n"/>
      <c r="D48" s="24" t="n"/>
      <c r="E48" s="23" t="n"/>
      <c r="F48" s="23" t="n"/>
      <c r="G48" s="25" t="n"/>
      <c r="H48" s="25" t="n"/>
      <c r="I48" s="23" t="n"/>
      <c r="J48" s="23" t="n"/>
      <c r="K48" s="23" t="n"/>
      <c r="L48" s="23" t="n"/>
    </row>
    <row r="49">
      <c r="A49" s="23" t="n"/>
      <c r="B49" s="23" t="n"/>
      <c r="C49" s="23" t="n"/>
      <c r="D49" s="24" t="n"/>
      <c r="E49" s="23" t="n"/>
      <c r="F49" s="23" t="n"/>
      <c r="G49" s="25" t="n"/>
      <c r="H49" s="25" t="n"/>
      <c r="I49" s="23" t="n"/>
      <c r="J49" s="23" t="n"/>
      <c r="K49" s="23" t="n"/>
      <c r="L49" s="23" t="n"/>
    </row>
    <row r="50">
      <c r="A50" s="23" t="n"/>
      <c r="B50" s="23" t="n"/>
      <c r="C50" s="23" t="n"/>
      <c r="D50" s="24" t="n"/>
      <c r="E50" s="23" t="n"/>
      <c r="F50" s="23" t="n"/>
      <c r="G50" s="25" t="n"/>
      <c r="H50" s="25" t="n"/>
      <c r="I50" s="23" t="n"/>
      <c r="J50" s="23" t="n"/>
      <c r="K50" s="23" t="n"/>
      <c r="L50" s="23" t="n"/>
    </row>
    <row r="51">
      <c r="A51" s="23" t="n"/>
      <c r="B51" s="23" t="n"/>
      <c r="C51" s="23" t="n"/>
      <c r="D51" s="24" t="n"/>
      <c r="E51" s="23" t="n"/>
      <c r="F51" s="23" t="n"/>
      <c r="G51" s="25" t="n"/>
      <c r="H51" s="25" t="n"/>
      <c r="I51" s="23" t="n"/>
      <c r="J51" s="23" t="n"/>
      <c r="K51" s="23" t="n"/>
      <c r="L51" s="23" t="n"/>
    </row>
    <row r="52">
      <c r="A52" s="23" t="n"/>
      <c r="B52" s="23" t="n"/>
      <c r="C52" s="23" t="n"/>
      <c r="D52" s="24" t="n"/>
      <c r="E52" s="23" t="n"/>
      <c r="F52" s="23" t="n"/>
      <c r="G52" s="25" t="n"/>
      <c r="H52" s="25" t="n"/>
      <c r="I52" s="23" t="n"/>
      <c r="J52" s="23" t="n"/>
      <c r="K52" s="23" t="n"/>
      <c r="L52" s="23" t="n"/>
    </row>
    <row r="53">
      <c r="A53" s="23" t="n"/>
      <c r="B53" s="23" t="n"/>
      <c r="C53" s="23" t="n"/>
      <c r="D53" s="24" t="n"/>
      <c r="E53" s="23" t="n"/>
      <c r="F53" s="23" t="n"/>
      <c r="G53" s="25" t="n"/>
      <c r="H53" s="25" t="n"/>
      <c r="I53" s="23" t="n"/>
      <c r="J53" s="23" t="n"/>
      <c r="K53" s="23" t="n"/>
      <c r="L53" s="23" t="n"/>
    </row>
    <row r="54">
      <c r="A54" s="23" t="n"/>
      <c r="B54" s="23" t="n"/>
      <c r="C54" s="23" t="n"/>
      <c r="D54" s="24" t="n"/>
      <c r="E54" s="23" t="n"/>
      <c r="F54" s="23" t="n"/>
      <c r="G54" s="25" t="n"/>
      <c r="H54" s="25" t="n"/>
      <c r="I54" s="23" t="n"/>
      <c r="J54" s="23" t="n"/>
      <c r="K54" s="23" t="n"/>
      <c r="L54" s="23" t="n"/>
    </row>
    <row r="55">
      <c r="A55" s="23" t="n"/>
      <c r="B55" s="23" t="n"/>
      <c r="C55" s="23" t="n"/>
      <c r="D55" s="24" t="n"/>
      <c r="E55" s="23" t="n"/>
      <c r="F55" s="23" t="n"/>
      <c r="G55" s="25" t="n"/>
      <c r="H55" s="25" t="n"/>
      <c r="I55" s="23" t="n"/>
      <c r="J55" s="23" t="n"/>
      <c r="K55" s="23" t="n"/>
      <c r="L55" s="23" t="n"/>
    </row>
    <row r="56">
      <c r="A56" s="23" t="n"/>
      <c r="B56" s="23" t="n"/>
      <c r="C56" s="23" t="n"/>
      <c r="D56" s="24" t="n"/>
      <c r="E56" s="23" t="n"/>
      <c r="F56" s="23" t="n"/>
      <c r="G56" s="25" t="n"/>
      <c r="H56" s="25" t="n"/>
      <c r="I56" s="23" t="n"/>
      <c r="J56" s="23" t="n"/>
      <c r="K56" s="23" t="n"/>
      <c r="L56" s="23" t="n"/>
    </row>
    <row r="57">
      <c r="A57" s="23" t="n"/>
      <c r="B57" s="23" t="n"/>
      <c r="C57" s="23" t="n"/>
      <c r="D57" s="24" t="n"/>
      <c r="E57" s="23" t="n"/>
      <c r="F57" s="23" t="n"/>
      <c r="G57" s="25" t="n"/>
      <c r="H57" s="25" t="n"/>
      <c r="I57" s="23" t="n"/>
      <c r="J57" s="23" t="n"/>
      <c r="K57" s="23" t="n"/>
      <c r="L57" s="23" t="n"/>
    </row>
    <row r="58">
      <c r="A58" s="23" t="n"/>
      <c r="B58" s="23" t="n"/>
      <c r="C58" s="23" t="n"/>
      <c r="D58" s="24" t="n"/>
      <c r="E58" s="23" t="n"/>
      <c r="F58" s="23" t="n"/>
      <c r="G58" s="25" t="n"/>
      <c r="H58" s="25" t="n"/>
      <c r="I58" s="23" t="n"/>
      <c r="J58" s="23" t="n"/>
      <c r="K58" s="23" t="n"/>
      <c r="L58" s="23" t="n"/>
    </row>
    <row r="59">
      <c r="A59" s="23" t="n"/>
      <c r="B59" s="23" t="n"/>
      <c r="C59" s="23" t="n"/>
      <c r="D59" s="24" t="n"/>
      <c r="E59" s="23" t="n"/>
      <c r="F59" s="23" t="n"/>
      <c r="G59" s="25" t="n"/>
      <c r="H59" s="25" t="n"/>
      <c r="I59" s="23" t="n"/>
      <c r="J59" s="23" t="n"/>
      <c r="K59" s="23" t="n"/>
      <c r="L59" s="23" t="n"/>
    </row>
    <row r="60">
      <c r="A60" s="23" t="n"/>
      <c r="B60" s="23" t="n"/>
      <c r="C60" s="23" t="n"/>
      <c r="D60" s="24" t="n"/>
      <c r="E60" s="23" t="n"/>
      <c r="F60" s="23" t="n"/>
      <c r="G60" s="25" t="n"/>
      <c r="H60" s="25" t="n"/>
      <c r="I60" s="23" t="n"/>
      <c r="J60" s="23" t="n"/>
      <c r="K60" s="23" t="n"/>
      <c r="L60" s="23" t="n"/>
    </row>
    <row r="61">
      <c r="A61" s="23" t="n"/>
      <c r="B61" s="23" t="n"/>
      <c r="C61" s="23" t="n"/>
      <c r="D61" s="24" t="n"/>
      <c r="E61" s="23" t="n"/>
      <c r="F61" s="23" t="n"/>
      <c r="G61" s="25" t="n"/>
      <c r="H61" s="25" t="n"/>
      <c r="I61" s="23" t="n"/>
      <c r="J61" s="23" t="n"/>
      <c r="K61" s="23" t="n"/>
      <c r="L61" s="23" t="n"/>
    </row>
    <row r="62">
      <c r="A62" s="23" t="n"/>
      <c r="B62" s="23" t="n"/>
      <c r="C62" s="23" t="n"/>
      <c r="D62" s="24" t="n"/>
      <c r="E62" s="23" t="n"/>
      <c r="F62" s="23" t="n"/>
      <c r="G62" s="25" t="n"/>
      <c r="H62" s="25" t="n"/>
      <c r="I62" s="23" t="n"/>
      <c r="J62" s="23" t="n"/>
      <c r="K62" s="23" t="n"/>
      <c r="L62" s="23" t="n"/>
    </row>
    <row r="63">
      <c r="A63" s="23" t="n"/>
      <c r="B63" s="23" t="n"/>
      <c r="C63" s="23" t="n"/>
      <c r="D63" s="24" t="n"/>
      <c r="E63" s="23" t="n"/>
      <c r="F63" s="23" t="n"/>
      <c r="G63" s="25" t="n"/>
      <c r="H63" s="25" t="n"/>
      <c r="I63" s="23" t="n"/>
      <c r="J63" s="23" t="n"/>
      <c r="K63" s="23" t="n"/>
      <c r="L63" s="23" t="n"/>
    </row>
    <row r="64">
      <c r="A64" s="23" t="n"/>
      <c r="B64" s="23" t="n"/>
      <c r="C64" s="23" t="n"/>
      <c r="D64" s="24" t="n"/>
      <c r="E64" s="23" t="n"/>
      <c r="F64" s="23" t="n"/>
      <c r="G64" s="25" t="n"/>
      <c r="H64" s="25" t="n"/>
      <c r="I64" s="23" t="n"/>
      <c r="J64" s="23" t="n"/>
      <c r="K64" s="23" t="n"/>
      <c r="L64" s="23" t="n"/>
    </row>
    <row r="65">
      <c r="A65" s="23" t="n"/>
      <c r="B65" s="23" t="n"/>
      <c r="C65" s="23" t="n"/>
      <c r="D65" s="24" t="n"/>
      <c r="E65" s="23" t="n"/>
      <c r="F65" s="23" t="n"/>
      <c r="G65" s="25" t="n"/>
      <c r="H65" s="25" t="n"/>
      <c r="I65" s="23" t="n"/>
      <c r="J65" s="23" t="n"/>
      <c r="K65" s="23" t="n"/>
      <c r="L65" s="23" t="n"/>
    </row>
    <row r="66">
      <c r="A66" s="23" t="n"/>
      <c r="B66" s="23" t="n"/>
      <c r="C66" s="23" t="n"/>
      <c r="D66" s="24" t="n"/>
      <c r="E66" s="23" t="n"/>
      <c r="F66" s="23" t="n"/>
      <c r="G66" s="25" t="n"/>
      <c r="H66" s="25" t="n"/>
      <c r="I66" s="23" t="n"/>
      <c r="J66" s="23" t="n"/>
      <c r="K66" s="23" t="n"/>
      <c r="L66" s="23" t="n"/>
    </row>
    <row r="67">
      <c r="A67" s="23" t="n"/>
      <c r="B67" s="23" t="n"/>
      <c r="C67" s="23" t="n"/>
      <c r="D67" s="24" t="n"/>
      <c r="E67" s="23" t="n"/>
      <c r="F67" s="23" t="n"/>
      <c r="G67" s="25" t="n"/>
      <c r="H67" s="25" t="n"/>
      <c r="I67" s="23" t="n"/>
      <c r="J67" s="23" t="n"/>
      <c r="K67" s="23" t="n"/>
      <c r="L67" s="23" t="n"/>
    </row>
    <row r="68">
      <c r="A68" s="23" t="n"/>
      <c r="B68" s="23" t="n"/>
      <c r="C68" s="23" t="n"/>
      <c r="D68" s="24" t="n"/>
      <c r="E68" s="23" t="n"/>
      <c r="F68" s="23" t="n"/>
      <c r="G68" s="25" t="n"/>
      <c r="H68" s="25" t="n"/>
      <c r="I68" s="23" t="n"/>
      <c r="J68" s="23" t="n"/>
      <c r="K68" s="23" t="n"/>
      <c r="L68" s="23" t="n"/>
    </row>
    <row r="69">
      <c r="A69" s="23" t="n"/>
      <c r="B69" s="23" t="n"/>
      <c r="C69" s="23" t="n"/>
      <c r="D69" s="24" t="n"/>
      <c r="E69" s="23" t="n"/>
      <c r="F69" s="23" t="n"/>
      <c r="G69" s="25" t="n"/>
      <c r="H69" s="25" t="n"/>
      <c r="I69" s="23" t="n"/>
      <c r="J69" s="23" t="n"/>
      <c r="K69" s="23" t="n"/>
      <c r="L69" s="23" t="n"/>
    </row>
    <row r="70">
      <c r="A70" s="23" t="n"/>
      <c r="B70" s="23" t="n"/>
      <c r="C70" s="23" t="n"/>
      <c r="D70" s="24" t="n"/>
      <c r="E70" s="23" t="n"/>
      <c r="F70" s="23" t="n"/>
      <c r="G70" s="25" t="n"/>
      <c r="H70" s="25" t="n"/>
      <c r="I70" s="23" t="n"/>
      <c r="J70" s="23" t="n"/>
      <c r="K70" s="23" t="n"/>
      <c r="L70" s="23" t="n"/>
    </row>
    <row r="71">
      <c r="A71" s="23" t="n"/>
      <c r="B71" s="23" t="n"/>
      <c r="C71" s="23" t="n"/>
      <c r="D71" s="24" t="n"/>
      <c r="E71" s="23" t="n"/>
      <c r="F71" s="23" t="n"/>
      <c r="G71" s="25" t="n"/>
      <c r="H71" s="25" t="n"/>
      <c r="I71" s="23" t="n"/>
      <c r="J71" s="23" t="n"/>
      <c r="K71" s="23" t="n"/>
      <c r="L71" s="23" t="n"/>
    </row>
    <row r="72">
      <c r="A72" s="23" t="n"/>
      <c r="B72" s="23" t="n"/>
      <c r="C72" s="23" t="n"/>
      <c r="D72" s="24" t="n"/>
      <c r="E72" s="23" t="n"/>
      <c r="F72" s="23" t="n"/>
      <c r="G72" s="25" t="n"/>
      <c r="H72" s="25" t="n"/>
      <c r="I72" s="23" t="n"/>
      <c r="J72" s="23" t="n"/>
      <c r="K72" s="23" t="n"/>
      <c r="L72" s="23" t="n"/>
    </row>
    <row r="73">
      <c r="A73" s="23" t="n"/>
      <c r="B73" s="23" t="n"/>
      <c r="C73" s="23" t="n"/>
      <c r="D73" s="24" t="n"/>
      <c r="E73" s="23" t="n"/>
      <c r="F73" s="23" t="n"/>
      <c r="G73" s="25" t="n"/>
      <c r="H73" s="25" t="n"/>
      <c r="I73" s="23" t="n"/>
      <c r="J73" s="23" t="n"/>
      <c r="K73" s="23" t="n"/>
      <c r="L73" s="23" t="n"/>
    </row>
    <row r="74">
      <c r="A74" s="23" t="n"/>
      <c r="B74" s="23" t="n"/>
      <c r="C74" s="23" t="n"/>
      <c r="D74" s="24" t="n"/>
      <c r="E74" s="23" t="n"/>
      <c r="F74" s="23" t="n"/>
      <c r="G74" s="25" t="n"/>
      <c r="H74" s="25" t="n"/>
      <c r="I74" s="23" t="n"/>
      <c r="J74" s="23" t="n"/>
      <c r="K74" s="23" t="n"/>
      <c r="L74" s="23" t="n"/>
    </row>
    <row r="75">
      <c r="A75" s="23" t="n"/>
      <c r="B75" s="23" t="n"/>
      <c r="C75" s="23" t="n"/>
      <c r="D75" s="24" t="n"/>
      <c r="E75" s="23" t="n"/>
      <c r="F75" s="23" t="n"/>
      <c r="G75" s="25" t="n"/>
      <c r="H75" s="25" t="n"/>
      <c r="I75" s="23" t="n"/>
      <c r="J75" s="23" t="n"/>
      <c r="K75" s="23" t="n"/>
      <c r="L75" s="23" t="n"/>
    </row>
    <row r="76">
      <c r="A76" s="23" t="n"/>
      <c r="B76" s="23" t="n"/>
      <c r="C76" s="23" t="n"/>
      <c r="D76" s="24" t="n"/>
      <c r="E76" s="23" t="n"/>
      <c r="F76" s="23" t="n"/>
      <c r="G76" s="25" t="n"/>
      <c r="H76" s="25" t="n"/>
      <c r="I76" s="23" t="n"/>
      <c r="J76" s="23" t="n"/>
      <c r="K76" s="23" t="n"/>
      <c r="L76" s="23" t="n"/>
    </row>
    <row r="77">
      <c r="A77" s="23" t="n"/>
      <c r="B77" s="23" t="n"/>
      <c r="C77" s="23" t="n"/>
      <c r="D77" s="24" t="n"/>
      <c r="E77" s="23" t="n"/>
      <c r="F77" s="23" t="n"/>
      <c r="G77" s="25" t="n"/>
      <c r="H77" s="25" t="n"/>
      <c r="I77" s="23" t="n"/>
      <c r="J77" s="23" t="n"/>
      <c r="K77" s="23" t="n"/>
      <c r="L77" s="23" t="n"/>
    </row>
    <row r="78">
      <c r="A78" s="23" t="n"/>
      <c r="B78" s="23" t="n"/>
      <c r="C78" s="23" t="n"/>
      <c r="D78" s="24" t="n"/>
      <c r="E78" s="23" t="n"/>
      <c r="F78" s="23" t="n"/>
      <c r="G78" s="25" t="n"/>
      <c r="H78" s="25" t="n"/>
      <c r="I78" s="23" t="n"/>
      <c r="J78" s="23" t="n"/>
      <c r="K78" s="23" t="n"/>
      <c r="L78" s="23" t="n"/>
    </row>
    <row r="79">
      <c r="A79" s="23" t="n"/>
      <c r="B79" s="23" t="n"/>
      <c r="C79" s="23" t="n"/>
      <c r="D79" s="24" t="n"/>
      <c r="E79" s="23" t="n"/>
      <c r="F79" s="23" t="n"/>
      <c r="G79" s="25" t="n"/>
      <c r="H79" s="25" t="n"/>
      <c r="I79" s="23" t="n"/>
      <c r="J79" s="23" t="n"/>
      <c r="K79" s="23" t="n"/>
      <c r="L79" s="23" t="n"/>
    </row>
    <row r="80">
      <c r="A80" s="23" t="n"/>
      <c r="B80" s="23" t="n"/>
      <c r="C80" s="23" t="n"/>
      <c r="D80" s="24" t="n"/>
      <c r="E80" s="23" t="n"/>
      <c r="F80" s="23" t="n"/>
      <c r="G80" s="25" t="n"/>
      <c r="H80" s="25" t="n"/>
      <c r="I80" s="23" t="n"/>
      <c r="J80" s="23" t="n"/>
      <c r="K80" s="23" t="n"/>
      <c r="L80" s="23" t="n"/>
    </row>
    <row r="81">
      <c r="A81" s="23" t="n"/>
      <c r="B81" s="23" t="n"/>
      <c r="C81" s="23" t="n"/>
      <c r="D81" s="24" t="n"/>
      <c r="E81" s="23" t="n"/>
      <c r="F81" s="23" t="n"/>
      <c r="G81" s="25" t="n"/>
      <c r="H81" s="25" t="n"/>
      <c r="I81" s="23" t="n"/>
      <c r="J81" s="23" t="n"/>
      <c r="K81" s="23" t="n"/>
      <c r="L81" s="23" t="n"/>
    </row>
    <row r="82">
      <c r="A82" s="23" t="n"/>
      <c r="B82" s="23" t="n"/>
      <c r="C82" s="23" t="n"/>
      <c r="D82" s="24" t="n"/>
      <c r="E82" s="23" t="n"/>
      <c r="F82" s="23" t="n"/>
      <c r="G82" s="25" t="n"/>
      <c r="H82" s="25" t="n"/>
      <c r="I82" s="23" t="n"/>
      <c r="J82" s="23" t="n"/>
      <c r="K82" s="23" t="n"/>
      <c r="L82" s="23" t="n"/>
    </row>
    <row r="83">
      <c r="A83" s="23" t="n"/>
      <c r="B83" s="23" t="n"/>
      <c r="C83" s="23" t="n"/>
      <c r="D83" s="24" t="n"/>
      <c r="E83" s="23" t="n"/>
      <c r="F83" s="23" t="n"/>
      <c r="G83" s="25" t="n"/>
      <c r="H83" s="25" t="n"/>
      <c r="I83" s="23" t="n"/>
      <c r="J83" s="23" t="n"/>
      <c r="K83" s="23" t="n"/>
      <c r="L83" s="23" t="n"/>
    </row>
    <row r="84">
      <c r="A84" s="23" t="n"/>
      <c r="B84" s="23" t="n"/>
      <c r="C84" s="23" t="n"/>
      <c r="D84" s="24" t="n"/>
      <c r="E84" s="23" t="n"/>
      <c r="F84" s="23" t="n"/>
      <c r="G84" s="25" t="n"/>
      <c r="H84" s="25" t="n"/>
      <c r="I84" s="23" t="n"/>
      <c r="J84" s="23" t="n"/>
      <c r="K84" s="23" t="n"/>
      <c r="L84" s="23" t="n"/>
    </row>
    <row r="85">
      <c r="A85" s="23" t="n"/>
      <c r="B85" s="23" t="n"/>
      <c r="C85" s="23" t="n"/>
      <c r="D85" s="24" t="n"/>
      <c r="E85" s="23" t="n"/>
      <c r="F85" s="23" t="n"/>
      <c r="G85" s="25" t="n"/>
      <c r="H85" s="25" t="n"/>
      <c r="I85" s="23" t="n"/>
      <c r="J85" s="23" t="n"/>
      <c r="K85" s="23" t="n"/>
      <c r="L85" s="23" t="n"/>
    </row>
    <row r="86">
      <c r="A86" s="23" t="n"/>
      <c r="B86" s="23" t="n"/>
      <c r="C86" s="23" t="n"/>
      <c r="D86" s="24" t="n"/>
      <c r="E86" s="23" t="n"/>
      <c r="F86" s="23" t="n"/>
      <c r="G86" s="25" t="n"/>
      <c r="H86" s="25" t="n"/>
      <c r="I86" s="23" t="n"/>
      <c r="J86" s="23" t="n"/>
      <c r="K86" s="23" t="n"/>
      <c r="L86" s="23" t="n"/>
    </row>
    <row r="87">
      <c r="A87" s="23" t="n"/>
      <c r="B87" s="23" t="n"/>
      <c r="C87" s="23" t="n"/>
      <c r="D87" s="24" t="n"/>
      <c r="E87" s="23" t="n"/>
      <c r="F87" s="23" t="n"/>
      <c r="G87" s="25" t="n"/>
      <c r="H87" s="25" t="n"/>
      <c r="I87" s="23" t="n"/>
      <c r="J87" s="23" t="n"/>
      <c r="K87" s="23" t="n"/>
      <c r="L87" s="23" t="n"/>
    </row>
    <row r="88">
      <c r="A88" s="23" t="n"/>
      <c r="B88" s="23" t="n"/>
      <c r="C88" s="23" t="n"/>
      <c r="D88" s="24" t="n"/>
      <c r="E88" s="23" t="n"/>
      <c r="F88" s="23" t="n"/>
      <c r="G88" s="25" t="n"/>
      <c r="H88" s="25" t="n"/>
      <c r="I88" s="23" t="n"/>
      <c r="J88" s="23" t="n"/>
      <c r="K88" s="23" t="n"/>
      <c r="L88" s="23" t="n"/>
    </row>
    <row r="89">
      <c r="A89" s="23" t="n"/>
      <c r="B89" s="23" t="n"/>
      <c r="C89" s="23" t="n"/>
      <c r="D89" s="24" t="n"/>
      <c r="E89" s="23" t="n"/>
      <c r="F89" s="23" t="n"/>
      <c r="G89" s="25" t="n"/>
      <c r="H89" s="25" t="n"/>
      <c r="I89" s="23" t="n"/>
      <c r="J89" s="23" t="n"/>
      <c r="K89" s="23" t="n"/>
      <c r="L89" s="23" t="n"/>
    </row>
    <row r="90">
      <c r="A90" s="23" t="n"/>
      <c r="B90" s="23" t="n"/>
      <c r="C90" s="23" t="n"/>
      <c r="D90" s="24" t="n"/>
      <c r="E90" s="23" t="n"/>
      <c r="F90" s="23" t="n"/>
      <c r="G90" s="25" t="n"/>
      <c r="H90" s="25" t="n"/>
      <c r="I90" s="23" t="n"/>
      <c r="J90" s="23" t="n"/>
      <c r="K90" s="23" t="n"/>
      <c r="L90" s="23" t="n"/>
    </row>
    <row r="91">
      <c r="A91" s="23" t="n"/>
      <c r="B91" s="23" t="n"/>
      <c r="C91" s="23" t="n"/>
      <c r="D91" s="24" t="n"/>
      <c r="E91" s="23" t="n"/>
      <c r="F91" s="23" t="n"/>
      <c r="G91" s="25" t="n"/>
      <c r="H91" s="25" t="n"/>
      <c r="I91" s="23" t="n"/>
      <c r="J91" s="23" t="n"/>
      <c r="K91" s="23" t="n"/>
      <c r="L91" s="23" t="n"/>
    </row>
    <row r="92">
      <c r="A92" s="23" t="n"/>
      <c r="B92" s="23" t="n"/>
      <c r="C92" s="23" t="n"/>
      <c r="D92" s="24" t="n"/>
      <c r="E92" s="23" t="n"/>
      <c r="F92" s="23" t="n"/>
      <c r="G92" s="25" t="n"/>
      <c r="H92" s="25" t="n"/>
      <c r="I92" s="23" t="n"/>
      <c r="J92" s="23" t="n"/>
      <c r="K92" s="23" t="n"/>
      <c r="L92" s="23" t="n"/>
    </row>
    <row r="93">
      <c r="A93" s="23" t="n"/>
      <c r="B93" s="23" t="n"/>
      <c r="C93" s="23" t="n"/>
      <c r="D93" s="24" t="n"/>
      <c r="E93" s="23" t="n"/>
      <c r="F93" s="23" t="n"/>
      <c r="G93" s="25" t="n"/>
      <c r="H93" s="25" t="n"/>
      <c r="I93" s="23" t="n"/>
      <c r="J93" s="23" t="n"/>
      <c r="K93" s="23" t="n"/>
      <c r="L93" s="23" t="n"/>
    </row>
    <row r="94">
      <c r="A94" s="23" t="n"/>
      <c r="B94" s="23" t="n"/>
      <c r="C94" s="23" t="n"/>
      <c r="D94" s="24" t="n"/>
      <c r="E94" s="23" t="n"/>
      <c r="F94" s="23" t="n"/>
      <c r="G94" s="25" t="n"/>
      <c r="H94" s="25" t="n"/>
      <c r="I94" s="23" t="n"/>
      <c r="J94" s="23" t="n"/>
      <c r="K94" s="23" t="n"/>
      <c r="L94" s="23" t="n"/>
    </row>
    <row r="95">
      <c r="A95" s="23" t="n"/>
      <c r="B95" s="23" t="n"/>
      <c r="C95" s="23" t="n"/>
      <c r="D95" s="24" t="n"/>
      <c r="E95" s="23" t="n"/>
      <c r="F95" s="23" t="n"/>
      <c r="G95" s="25" t="n"/>
      <c r="H95" s="25" t="n"/>
      <c r="I95" s="23" t="n"/>
      <c r="J95" s="23" t="n"/>
      <c r="K95" s="23" t="n"/>
      <c r="L95" s="23" t="n"/>
    </row>
    <row r="96">
      <c r="A96" s="23" t="n"/>
      <c r="B96" s="23" t="n"/>
      <c r="C96" s="23" t="n"/>
      <c r="D96" s="24" t="n"/>
      <c r="E96" s="23" t="n"/>
      <c r="F96" s="23" t="n"/>
      <c r="G96" s="25" t="n"/>
      <c r="H96" s="25" t="n"/>
      <c r="I96" s="23" t="n"/>
      <c r="J96" s="23" t="n"/>
      <c r="K96" s="23" t="n"/>
      <c r="L96" s="23" t="n"/>
    </row>
    <row r="97">
      <c r="A97" s="23" t="n"/>
      <c r="B97" s="23" t="n"/>
      <c r="C97" s="23" t="n"/>
      <c r="D97" s="24" t="n"/>
      <c r="E97" s="23" t="n"/>
      <c r="F97" s="23" t="n"/>
      <c r="G97" s="25" t="n"/>
      <c r="H97" s="25" t="n"/>
      <c r="I97" s="23" t="n"/>
      <c r="J97" s="23" t="n"/>
      <c r="K97" s="23" t="n"/>
      <c r="L97" s="23" t="n"/>
    </row>
    <row r="98">
      <c r="A98" s="23" t="n"/>
      <c r="B98" s="23" t="n"/>
      <c r="C98" s="23" t="n"/>
      <c r="D98" s="24" t="n"/>
      <c r="E98" s="23" t="n"/>
      <c r="F98" s="23" t="n"/>
      <c r="G98" s="25" t="n"/>
      <c r="H98" s="25" t="n"/>
      <c r="I98" s="23" t="n"/>
      <c r="J98" s="23" t="n"/>
      <c r="K98" s="23" t="n"/>
      <c r="L98" s="23" t="n"/>
    </row>
    <row r="99">
      <c r="A99" s="23" t="n"/>
      <c r="B99" s="23" t="n"/>
      <c r="C99" s="23" t="n"/>
      <c r="D99" s="24" t="n"/>
      <c r="E99" s="23" t="n"/>
      <c r="F99" s="23" t="n"/>
      <c r="G99" s="25" t="n"/>
      <c r="H99" s="25" t="n"/>
      <c r="I99" s="23" t="n"/>
      <c r="J99" s="23" t="n"/>
      <c r="K99" s="23" t="n"/>
      <c r="L99" s="23" t="n"/>
    </row>
    <row r="100">
      <c r="A100" s="23" t="n"/>
      <c r="B100" s="23" t="n"/>
      <c r="C100" s="23" t="n"/>
      <c r="D100" s="24" t="n"/>
      <c r="E100" s="23" t="n"/>
      <c r="F100" s="23" t="n"/>
      <c r="G100" s="25" t="n"/>
      <c r="H100" s="25" t="n"/>
      <c r="I100" s="23" t="n"/>
      <c r="J100" s="23" t="n"/>
      <c r="K100" s="23" t="n"/>
      <c r="L100" s="23" t="n"/>
    </row>
    <row r="101">
      <c r="A101" s="23" t="n"/>
      <c r="B101" s="23" t="n"/>
      <c r="C101" s="23" t="n"/>
      <c r="D101" s="24" t="n"/>
      <c r="E101" s="23" t="n"/>
      <c r="F101" s="23" t="n"/>
      <c r="G101" s="25" t="n"/>
      <c r="H101" s="25" t="n"/>
      <c r="I101" s="23" t="n"/>
      <c r="J101" s="23" t="n"/>
      <c r="K101" s="23" t="n"/>
      <c r="L101" s="23" t="n"/>
    </row>
    <row r="102">
      <c r="A102" s="23" t="n"/>
      <c r="B102" s="23" t="n"/>
      <c r="C102" s="23" t="n"/>
      <c r="D102" s="24" t="n"/>
      <c r="E102" s="23" t="n"/>
      <c r="F102" s="23" t="n"/>
      <c r="G102" s="25" t="n"/>
      <c r="H102" s="25" t="n"/>
      <c r="I102" s="23" t="n"/>
      <c r="J102" s="23" t="n"/>
      <c r="K102" s="23" t="n"/>
      <c r="L102" s="23" t="n"/>
    </row>
    <row r="103">
      <c r="A103" s="23" t="n"/>
      <c r="B103" s="23" t="n"/>
      <c r="C103" s="23" t="n"/>
      <c r="D103" s="24" t="n"/>
      <c r="E103" s="23" t="n"/>
      <c r="F103" s="23" t="n"/>
      <c r="G103" s="25" t="n"/>
      <c r="H103" s="25" t="n"/>
      <c r="I103" s="23" t="n"/>
      <c r="J103" s="23" t="n"/>
      <c r="K103" s="23" t="n"/>
      <c r="L103" s="23" t="n"/>
    </row>
    <row r="104">
      <c r="A104" s="23" t="n"/>
      <c r="B104" s="23" t="n"/>
      <c r="C104" s="23" t="n"/>
      <c r="D104" s="24" t="n"/>
      <c r="E104" s="23" t="n"/>
      <c r="F104" s="23" t="n"/>
      <c r="G104" s="25" t="n"/>
      <c r="H104" s="25" t="n"/>
      <c r="I104" s="23" t="n"/>
      <c r="J104" s="23" t="n"/>
      <c r="K104" s="23" t="n"/>
      <c r="L104" s="23" t="n"/>
    </row>
    <row r="105">
      <c r="A105" s="23" t="n"/>
      <c r="B105" s="23" t="n"/>
      <c r="C105" s="23" t="n"/>
      <c r="D105" s="24" t="n"/>
      <c r="E105" s="23" t="n"/>
      <c r="F105" s="23" t="n"/>
      <c r="G105" s="25" t="n"/>
      <c r="H105" s="25" t="n"/>
      <c r="I105" s="23" t="n"/>
      <c r="J105" s="23" t="n"/>
      <c r="K105" s="23" t="n"/>
      <c r="L105" s="23" t="n"/>
    </row>
    <row r="106">
      <c r="A106" s="23" t="n"/>
      <c r="B106" s="23" t="n"/>
      <c r="C106" s="23" t="n"/>
      <c r="D106" s="24" t="n"/>
      <c r="E106" s="23" t="n"/>
      <c r="F106" s="23" t="n"/>
      <c r="G106" s="25" t="n"/>
      <c r="H106" s="25" t="n"/>
      <c r="I106" s="23" t="n"/>
      <c r="J106" s="23" t="n"/>
      <c r="K106" s="23" t="n"/>
      <c r="L106" s="23" t="n"/>
    </row>
    <row r="107">
      <c r="A107" s="23" t="n"/>
      <c r="B107" s="23" t="n"/>
      <c r="C107" s="23" t="n"/>
      <c r="D107" s="24" t="n"/>
      <c r="E107" s="23" t="n"/>
      <c r="F107" s="23" t="n"/>
      <c r="G107" s="25" t="n"/>
      <c r="H107" s="25" t="n"/>
      <c r="I107" s="23" t="n"/>
      <c r="J107" s="23" t="n"/>
      <c r="K107" s="23" t="n"/>
      <c r="L107" s="23" t="n"/>
    </row>
    <row r="108">
      <c r="A108" s="23" t="n"/>
      <c r="B108" s="23" t="n"/>
      <c r="C108" s="23" t="n"/>
      <c r="D108" s="24" t="n"/>
      <c r="E108" s="23" t="n"/>
      <c r="F108" s="23" t="n"/>
      <c r="G108" s="25" t="n"/>
      <c r="H108" s="25" t="n"/>
      <c r="I108" s="23" t="n"/>
      <c r="J108" s="23" t="n"/>
      <c r="K108" s="23" t="n"/>
      <c r="L108" s="23" t="n"/>
    </row>
    <row r="109">
      <c r="A109" s="23" t="n"/>
      <c r="B109" s="23" t="n"/>
      <c r="C109" s="23" t="n"/>
      <c r="D109" s="24" t="n"/>
      <c r="E109" s="23" t="n"/>
      <c r="F109" s="23" t="n"/>
      <c r="G109" s="25" t="n"/>
      <c r="H109" s="25" t="n"/>
      <c r="I109" s="23" t="n"/>
      <c r="J109" s="23" t="n"/>
      <c r="K109" s="23" t="n"/>
      <c r="L109" s="23" t="n"/>
    </row>
    <row r="110">
      <c r="A110" s="23" t="n"/>
      <c r="B110" s="23" t="n"/>
      <c r="C110" s="23" t="n"/>
      <c r="D110" s="24" t="n"/>
      <c r="E110" s="23" t="n"/>
      <c r="F110" s="23" t="n"/>
      <c r="G110" s="25" t="n"/>
      <c r="H110" s="25" t="n"/>
      <c r="I110" s="23" t="n"/>
      <c r="J110" s="23" t="n"/>
      <c r="K110" s="23" t="n"/>
      <c r="L110" s="23" t="n"/>
    </row>
    <row r="111">
      <c r="A111" s="23" t="n"/>
      <c r="B111" s="23" t="n"/>
      <c r="C111" s="23" t="n"/>
      <c r="D111" s="24" t="n"/>
      <c r="E111" s="23" t="n"/>
      <c r="F111" s="23" t="n"/>
      <c r="G111" s="25" t="n"/>
      <c r="H111" s="25" t="n"/>
      <c r="I111" s="23" t="n"/>
      <c r="J111" s="23" t="n"/>
      <c r="K111" s="23" t="n"/>
      <c r="L111" s="23" t="n"/>
    </row>
    <row r="112">
      <c r="A112" s="23" t="n"/>
      <c r="B112" s="23" t="n"/>
      <c r="C112" s="23" t="n"/>
      <c r="D112" s="24" t="n"/>
      <c r="E112" s="23" t="n"/>
      <c r="F112" s="23" t="n"/>
      <c r="G112" s="25" t="n"/>
      <c r="H112" s="25" t="n"/>
      <c r="I112" s="23" t="n"/>
      <c r="J112" s="23" t="n"/>
      <c r="K112" s="23" t="n"/>
      <c r="L112" s="23" t="n"/>
    </row>
    <row r="113">
      <c r="A113" s="23" t="n"/>
      <c r="B113" s="23" t="n"/>
      <c r="C113" s="23" t="n"/>
      <c r="D113" s="24" t="n"/>
      <c r="E113" s="23" t="n"/>
      <c r="F113" s="23" t="n"/>
      <c r="G113" s="25" t="n"/>
      <c r="H113" s="25" t="n"/>
      <c r="I113" s="23" t="n"/>
      <c r="J113" s="23" t="n"/>
      <c r="K113" s="23" t="n"/>
      <c r="L113" s="23" t="n"/>
    </row>
    <row r="114">
      <c r="A114" s="23" t="n"/>
      <c r="B114" s="23" t="n"/>
      <c r="C114" s="23" t="n"/>
      <c r="D114" s="24" t="n"/>
      <c r="E114" s="23" t="n"/>
      <c r="F114" s="23" t="n"/>
      <c r="G114" s="25" t="n"/>
      <c r="H114" s="25" t="n"/>
      <c r="I114" s="23" t="n"/>
      <c r="J114" s="23" t="n"/>
      <c r="K114" s="23" t="n"/>
      <c r="L114" s="23" t="n"/>
    </row>
    <row r="115">
      <c r="A115" s="23" t="n"/>
      <c r="B115" s="23" t="n"/>
      <c r="C115" s="23" t="n"/>
      <c r="D115" s="24" t="n"/>
      <c r="E115" s="23" t="n"/>
      <c r="F115" s="23" t="n"/>
      <c r="G115" s="25" t="n"/>
      <c r="H115" s="25" t="n"/>
      <c r="I115" s="23" t="n"/>
      <c r="J115" s="23" t="n"/>
      <c r="K115" s="23" t="n"/>
      <c r="L115" s="23" t="n"/>
    </row>
    <row r="116">
      <c r="A116" s="23" t="n"/>
      <c r="B116" s="23" t="n"/>
      <c r="C116" s="23" t="n"/>
      <c r="D116" s="24" t="n"/>
      <c r="E116" s="23" t="n"/>
      <c r="F116" s="23" t="n"/>
      <c r="G116" s="25" t="n"/>
      <c r="H116" s="25" t="n"/>
      <c r="I116" s="23" t="n"/>
      <c r="J116" s="23" t="n"/>
      <c r="K116" s="23" t="n"/>
      <c r="L116" s="23" t="n"/>
    </row>
    <row r="117">
      <c r="A117" s="23" t="n"/>
      <c r="B117" s="23" t="n"/>
      <c r="C117" s="23" t="n"/>
      <c r="D117" s="24" t="n"/>
      <c r="E117" s="23" t="n"/>
      <c r="F117" s="23" t="n"/>
      <c r="G117" s="25" t="n"/>
      <c r="H117" s="25" t="n"/>
      <c r="I117" s="23" t="n"/>
      <c r="J117" s="23" t="n"/>
      <c r="K117" s="23" t="n"/>
      <c r="L117" s="23" t="n"/>
    </row>
    <row r="118">
      <c r="A118" s="23" t="n"/>
      <c r="B118" s="23" t="n"/>
      <c r="C118" s="23" t="n"/>
      <c r="D118" s="24" t="n"/>
      <c r="E118" s="23" t="n"/>
      <c r="F118" s="23" t="n"/>
      <c r="G118" s="25" t="n"/>
      <c r="H118" s="25" t="n"/>
      <c r="I118" s="23" t="n"/>
      <c r="J118" s="23" t="n"/>
      <c r="K118" s="23" t="n"/>
      <c r="L118" s="23" t="n"/>
    </row>
    <row r="119">
      <c r="A119" s="23" t="n"/>
      <c r="B119" s="23" t="n"/>
      <c r="C119" s="23" t="n"/>
      <c r="D119" s="24" t="n"/>
      <c r="E119" s="23" t="n"/>
      <c r="F119" s="23" t="n"/>
      <c r="G119" s="25" t="n"/>
      <c r="H119" s="25" t="n"/>
      <c r="I119" s="23" t="n"/>
      <c r="J119" s="23" t="n"/>
      <c r="K119" s="23" t="n"/>
      <c r="L119" s="23" t="n"/>
    </row>
    <row r="120">
      <c r="A120" s="23" t="n"/>
      <c r="B120" s="23" t="n"/>
      <c r="C120" s="23" t="n"/>
      <c r="D120" s="24" t="n"/>
      <c r="E120" s="23" t="n"/>
      <c r="F120" s="23" t="n"/>
      <c r="G120" s="25" t="n"/>
      <c r="H120" s="25" t="n"/>
      <c r="I120" s="23" t="n"/>
      <c r="J120" s="23" t="n"/>
      <c r="K120" s="23" t="n"/>
      <c r="L120" s="23" t="n"/>
    </row>
    <row r="121">
      <c r="A121" s="23" t="n"/>
      <c r="B121" s="23" t="n"/>
      <c r="C121" s="23" t="n"/>
      <c r="D121" s="24" t="n"/>
      <c r="E121" s="23" t="n"/>
      <c r="F121" s="23" t="n"/>
      <c r="G121" s="25" t="n"/>
      <c r="H121" s="25" t="n"/>
      <c r="I121" s="23" t="n"/>
      <c r="J121" s="23" t="n"/>
      <c r="K121" s="23" t="n"/>
      <c r="L121" s="23" t="n"/>
    </row>
    <row r="122">
      <c r="A122" s="23" t="n"/>
      <c r="B122" s="23" t="n"/>
      <c r="C122" s="23" t="n"/>
      <c r="D122" s="24" t="n"/>
      <c r="E122" s="23" t="n"/>
      <c r="F122" s="23" t="n"/>
      <c r="G122" s="25" t="n"/>
      <c r="H122" s="25" t="n"/>
      <c r="I122" s="23" t="n"/>
      <c r="J122" s="23" t="n"/>
      <c r="K122" s="23" t="n"/>
      <c r="L122" s="23" t="n"/>
    </row>
    <row r="123">
      <c r="A123" s="23" t="n"/>
      <c r="B123" s="23" t="n"/>
      <c r="C123" s="23" t="n"/>
      <c r="D123" s="24" t="n"/>
      <c r="E123" s="23" t="n"/>
      <c r="F123" s="23" t="n"/>
      <c r="G123" s="25" t="n"/>
      <c r="H123" s="25" t="n"/>
      <c r="I123" s="23" t="n"/>
      <c r="J123" s="23" t="n"/>
      <c r="K123" s="23" t="n"/>
      <c r="L123" s="23" t="n"/>
    </row>
    <row r="124">
      <c r="A124" s="23" t="n"/>
      <c r="B124" s="23" t="n"/>
      <c r="C124" s="23" t="n"/>
      <c r="D124" s="24" t="n"/>
      <c r="E124" s="23" t="n"/>
      <c r="F124" s="23" t="n"/>
      <c r="G124" s="25" t="n"/>
      <c r="H124" s="25" t="n"/>
      <c r="I124" s="23" t="n"/>
      <c r="J124" s="23" t="n"/>
      <c r="K124" s="23" t="n"/>
      <c r="L124" s="23" t="n"/>
    </row>
    <row r="125">
      <c r="A125" s="23" t="n"/>
      <c r="B125" s="23" t="n"/>
      <c r="C125" s="23" t="n"/>
      <c r="D125" s="24" t="n"/>
      <c r="E125" s="23" t="n"/>
      <c r="F125" s="23" t="n"/>
      <c r="G125" s="25" t="n"/>
      <c r="H125" s="25" t="n"/>
      <c r="I125" s="23" t="n"/>
      <c r="J125" s="23" t="n"/>
      <c r="K125" s="23" t="n"/>
      <c r="L125" s="23" t="n"/>
    </row>
    <row r="126">
      <c r="A126" s="23" t="n"/>
      <c r="B126" s="23" t="n"/>
      <c r="C126" s="23" t="n"/>
      <c r="D126" s="24" t="n"/>
      <c r="E126" s="23" t="n"/>
      <c r="F126" s="23" t="n"/>
      <c r="G126" s="25" t="n"/>
      <c r="H126" s="25" t="n"/>
      <c r="I126" s="23" t="n"/>
      <c r="J126" s="23" t="n"/>
      <c r="K126" s="23" t="n"/>
      <c r="L126" s="23" t="n"/>
    </row>
    <row r="127">
      <c r="A127" s="23" t="n"/>
      <c r="B127" s="23" t="n"/>
      <c r="C127" s="23" t="n"/>
      <c r="D127" s="24" t="n"/>
      <c r="E127" s="23" t="n"/>
      <c r="F127" s="23" t="n"/>
      <c r="G127" s="25" t="n"/>
      <c r="H127" s="25" t="n"/>
      <c r="I127" s="23" t="n"/>
      <c r="J127" s="23" t="n"/>
      <c r="K127" s="23" t="n"/>
      <c r="L127" s="23" t="n"/>
    </row>
    <row r="128">
      <c r="A128" s="23" t="n"/>
      <c r="B128" s="23" t="n"/>
      <c r="C128" s="23" t="n"/>
      <c r="D128" s="24" t="n"/>
      <c r="E128" s="23" t="n"/>
      <c r="F128" s="23" t="n"/>
      <c r="G128" s="25" t="n"/>
      <c r="H128" s="25" t="n"/>
      <c r="I128" s="23" t="n"/>
      <c r="J128" s="23" t="n"/>
      <c r="K128" s="23" t="n"/>
      <c r="L128" s="23" t="n"/>
    </row>
    <row r="129">
      <c r="A129" s="23" t="n"/>
      <c r="B129" s="23" t="n"/>
      <c r="C129" s="23" t="n"/>
      <c r="D129" s="24" t="n"/>
      <c r="E129" s="23" t="n"/>
      <c r="F129" s="23" t="n"/>
      <c r="G129" s="25" t="n"/>
      <c r="H129" s="25" t="n"/>
      <c r="I129" s="23" t="n"/>
      <c r="J129" s="23" t="n"/>
      <c r="K129" s="23" t="n"/>
      <c r="L129" s="23" t="n"/>
    </row>
    <row r="130">
      <c r="A130" s="23" t="n"/>
      <c r="B130" s="23" t="n"/>
      <c r="C130" s="23" t="n"/>
      <c r="D130" s="24" t="n"/>
      <c r="E130" s="23" t="n"/>
      <c r="F130" s="23" t="n"/>
      <c r="G130" s="25" t="n"/>
      <c r="H130" s="25" t="n"/>
      <c r="I130" s="23" t="n"/>
      <c r="J130" s="23" t="n"/>
      <c r="K130" s="23" t="n"/>
      <c r="L130" s="23" t="n"/>
    </row>
    <row r="131">
      <c r="A131" s="23" t="n"/>
      <c r="B131" s="23" t="n"/>
      <c r="C131" s="23" t="n"/>
      <c r="D131" s="24" t="n"/>
      <c r="E131" s="23" t="n"/>
      <c r="F131" s="23" t="n"/>
      <c r="G131" s="25" t="n"/>
      <c r="H131" s="25" t="n"/>
      <c r="I131" s="23" t="n"/>
      <c r="J131" s="23" t="n"/>
      <c r="K131" s="23" t="n"/>
      <c r="L131" s="23" t="n"/>
    </row>
    <row r="132">
      <c r="A132" s="23" t="n"/>
      <c r="B132" s="23" t="n"/>
      <c r="C132" s="23" t="n"/>
      <c r="D132" s="24" t="n"/>
      <c r="E132" s="23" t="n"/>
      <c r="F132" s="23" t="n"/>
      <c r="G132" s="25" t="n"/>
      <c r="H132" s="25" t="n"/>
      <c r="I132" s="23" t="n"/>
      <c r="J132" s="23" t="n"/>
      <c r="K132" s="23" t="n"/>
      <c r="L132" s="23" t="n"/>
    </row>
    <row r="133">
      <c r="A133" s="23" t="n"/>
      <c r="B133" s="23" t="n"/>
      <c r="C133" s="23" t="n"/>
      <c r="D133" s="24" t="n"/>
      <c r="E133" s="23" t="n"/>
      <c r="F133" s="23" t="n"/>
      <c r="G133" s="25" t="n"/>
      <c r="H133" s="25" t="n"/>
      <c r="I133" s="23" t="n"/>
      <c r="J133" s="23" t="n"/>
      <c r="K133" s="23" t="n"/>
      <c r="L133" s="23" t="n"/>
    </row>
    <row r="134">
      <c r="A134" s="23" t="n"/>
      <c r="B134" s="23" t="n"/>
      <c r="C134" s="23" t="n"/>
      <c r="D134" s="24" t="n"/>
      <c r="E134" s="23" t="n"/>
      <c r="F134" s="23" t="n"/>
      <c r="G134" s="25" t="n"/>
      <c r="H134" s="25" t="n"/>
      <c r="I134" s="23" t="n"/>
      <c r="J134" s="23" t="n"/>
      <c r="K134" s="23" t="n"/>
      <c r="L134" s="23" t="n"/>
    </row>
    <row r="135">
      <c r="A135" s="23" t="n"/>
      <c r="B135" s="23" t="n"/>
      <c r="C135" s="23" t="n"/>
      <c r="D135" s="24" t="n"/>
      <c r="E135" s="23" t="n"/>
      <c r="F135" s="23" t="n"/>
      <c r="G135" s="25" t="n"/>
      <c r="H135" s="25" t="n"/>
      <c r="I135" s="23" t="n"/>
      <c r="J135" s="23" t="n"/>
      <c r="K135" s="23" t="n"/>
      <c r="L135" s="23" t="n"/>
    </row>
    <row r="136">
      <c r="A136" s="23" t="n"/>
      <c r="B136" s="23" t="n"/>
      <c r="C136" s="23" t="n"/>
      <c r="D136" s="24" t="n"/>
      <c r="E136" s="23" t="n"/>
      <c r="F136" s="23" t="n"/>
      <c r="G136" s="25" t="n"/>
      <c r="H136" s="25" t="n"/>
      <c r="I136" s="23" t="n"/>
      <c r="J136" s="23" t="n"/>
      <c r="K136" s="23" t="n"/>
      <c r="L136" s="23" t="n"/>
    </row>
    <row r="137">
      <c r="A137" s="23" t="n"/>
      <c r="B137" s="23" t="n"/>
      <c r="C137" s="23" t="n"/>
      <c r="D137" s="24" t="n"/>
      <c r="E137" s="23" t="n"/>
      <c r="F137" s="23" t="n"/>
      <c r="G137" s="25" t="n"/>
      <c r="H137" s="25" t="n"/>
      <c r="I137" s="23" t="n"/>
      <c r="J137" s="23" t="n"/>
      <c r="K137" s="23" t="n"/>
      <c r="L137" s="23" t="n"/>
    </row>
    <row r="138">
      <c r="A138" s="23" t="n"/>
      <c r="B138" s="23" t="n"/>
      <c r="C138" s="23" t="n"/>
      <c r="D138" s="24" t="n"/>
      <c r="E138" s="23" t="n"/>
      <c r="F138" s="23" t="n"/>
      <c r="G138" s="25" t="n"/>
      <c r="H138" s="25" t="n"/>
      <c r="I138" s="23" t="n"/>
      <c r="J138" s="23" t="n"/>
      <c r="K138" s="23" t="n"/>
      <c r="L138" s="23" t="n"/>
    </row>
    <row r="139">
      <c r="A139" s="23" t="n"/>
      <c r="B139" s="23" t="n"/>
      <c r="C139" s="23" t="n"/>
      <c r="D139" s="24" t="n"/>
      <c r="E139" s="23" t="n"/>
      <c r="F139" s="23" t="n"/>
      <c r="G139" s="25" t="n"/>
      <c r="H139" s="25" t="n"/>
      <c r="I139" s="23" t="n"/>
      <c r="J139" s="23" t="n"/>
      <c r="K139" s="23" t="n"/>
      <c r="L139" s="23" t="n"/>
    </row>
    <row r="140">
      <c r="A140" s="23" t="n"/>
      <c r="B140" s="23" t="n"/>
      <c r="C140" s="23" t="n"/>
      <c r="D140" s="24" t="n"/>
      <c r="E140" s="23" t="n"/>
      <c r="F140" s="23" t="n"/>
      <c r="G140" s="25" t="n"/>
      <c r="H140" s="25" t="n"/>
      <c r="I140" s="23" t="n"/>
      <c r="J140" s="23" t="n"/>
      <c r="K140" s="23" t="n"/>
      <c r="L140" s="23" t="n"/>
    </row>
    <row r="141">
      <c r="A141" s="23" t="n"/>
      <c r="B141" s="23" t="n"/>
      <c r="C141" s="23" t="n"/>
      <c r="D141" s="24" t="n"/>
      <c r="E141" s="23" t="n"/>
      <c r="F141" s="23" t="n"/>
      <c r="G141" s="25" t="n"/>
      <c r="H141" s="25" t="n"/>
      <c r="I141" s="23" t="n"/>
      <c r="J141" s="23" t="n"/>
      <c r="K141" s="23" t="n"/>
      <c r="L141" s="23" t="n"/>
    </row>
    <row r="142">
      <c r="A142" s="23" t="n"/>
      <c r="B142" s="23" t="n"/>
      <c r="C142" s="23" t="n"/>
      <c r="D142" s="24" t="n"/>
      <c r="E142" s="23" t="n"/>
      <c r="F142" s="23" t="n"/>
      <c r="G142" s="25" t="n"/>
      <c r="H142" s="25" t="n"/>
      <c r="I142" s="23" t="n"/>
      <c r="J142" s="23" t="n"/>
      <c r="K142" s="23" t="n"/>
      <c r="L142" s="23" t="n"/>
    </row>
    <row r="143">
      <c r="A143" s="23" t="n"/>
      <c r="B143" s="23" t="n"/>
      <c r="C143" s="23" t="n"/>
      <c r="D143" s="24" t="n"/>
      <c r="E143" s="23" t="n"/>
      <c r="F143" s="23" t="n"/>
      <c r="G143" s="25" t="n"/>
      <c r="H143" s="25" t="n"/>
      <c r="I143" s="23" t="n"/>
      <c r="J143" s="23" t="n"/>
      <c r="K143" s="23" t="n"/>
      <c r="L143" s="23" t="n"/>
    </row>
    <row r="144">
      <c r="A144" s="23" t="n"/>
      <c r="B144" s="23" t="n"/>
      <c r="C144" s="23" t="n"/>
      <c r="D144" s="24" t="n"/>
      <c r="E144" s="23" t="n"/>
      <c r="F144" s="23" t="n"/>
      <c r="G144" s="25" t="n"/>
      <c r="H144" s="25" t="n"/>
      <c r="I144" s="23" t="n"/>
      <c r="J144" s="23" t="n"/>
      <c r="K144" s="23" t="n"/>
      <c r="L144" s="23" t="n"/>
    </row>
    <row r="145">
      <c r="A145" s="23" t="n"/>
      <c r="B145" s="23" t="n"/>
      <c r="C145" s="23" t="n"/>
      <c r="D145" s="24" t="n"/>
      <c r="E145" s="23" t="n"/>
      <c r="F145" s="23" t="n"/>
      <c r="G145" s="25" t="n"/>
      <c r="H145" s="25" t="n"/>
      <c r="I145" s="23" t="n"/>
      <c r="J145" s="23" t="n"/>
      <c r="K145" s="23" t="n"/>
      <c r="L145" s="23" t="n"/>
    </row>
    <row r="146">
      <c r="A146" s="23" t="n"/>
      <c r="B146" s="23" t="n"/>
      <c r="C146" s="23" t="n"/>
      <c r="D146" s="24" t="n"/>
      <c r="E146" s="23" t="n"/>
      <c r="F146" s="23" t="n"/>
      <c r="G146" s="25" t="n"/>
      <c r="H146" s="25" t="n"/>
      <c r="I146" s="23" t="n"/>
      <c r="J146" s="23" t="n"/>
      <c r="K146" s="23" t="n"/>
      <c r="L146" s="23" t="n"/>
    </row>
    <row r="147">
      <c r="A147" s="23" t="n"/>
      <c r="B147" s="23" t="n"/>
      <c r="C147" s="23" t="n"/>
      <c r="D147" s="24" t="n"/>
      <c r="E147" s="23" t="n"/>
      <c r="F147" s="23" t="n"/>
      <c r="G147" s="25" t="n"/>
      <c r="H147" s="25" t="n"/>
      <c r="I147" s="23" t="n"/>
      <c r="J147" s="23" t="n"/>
      <c r="K147" s="23" t="n"/>
      <c r="L147" s="23" t="n"/>
    </row>
    <row r="148">
      <c r="A148" s="23" t="n"/>
      <c r="B148" s="23" t="n"/>
      <c r="C148" s="23" t="n"/>
      <c r="D148" s="24" t="n"/>
      <c r="E148" s="23" t="n"/>
      <c r="F148" s="23" t="n"/>
      <c r="G148" s="25" t="n"/>
      <c r="H148" s="25" t="n"/>
      <c r="I148" s="23" t="n"/>
      <c r="J148" s="23" t="n"/>
      <c r="K148" s="23" t="n"/>
      <c r="L148" s="23" t="n"/>
    </row>
    <row r="149">
      <c r="A149" s="23" t="n"/>
      <c r="B149" s="23" t="n"/>
      <c r="C149" s="23" t="n"/>
      <c r="D149" s="24" t="n"/>
      <c r="E149" s="23" t="n"/>
      <c r="F149" s="23" t="n"/>
      <c r="G149" s="25" t="n"/>
      <c r="H149" s="25" t="n"/>
      <c r="I149" s="23" t="n"/>
      <c r="J149" s="23" t="n"/>
      <c r="K149" s="23" t="n"/>
      <c r="L149" s="23" t="n"/>
    </row>
    <row r="150">
      <c r="A150" s="23" t="n"/>
      <c r="B150" s="23" t="n"/>
      <c r="C150" s="23" t="n"/>
      <c r="D150" s="24" t="n"/>
      <c r="E150" s="23" t="n"/>
      <c r="F150" s="23" t="n"/>
      <c r="G150" s="25" t="n"/>
      <c r="H150" s="25" t="n"/>
      <c r="I150" s="23" t="n"/>
      <c r="J150" s="23" t="n"/>
      <c r="K150" s="23" t="n"/>
      <c r="L150" s="23" t="n"/>
    </row>
    <row r="151">
      <c r="A151" s="23" t="n"/>
      <c r="B151" s="23" t="n"/>
      <c r="C151" s="23" t="n"/>
      <c r="D151" s="24" t="n"/>
      <c r="E151" s="23" t="n"/>
      <c r="F151" s="23" t="n"/>
      <c r="G151" s="25" t="n"/>
      <c r="H151" s="25" t="n"/>
      <c r="I151" s="23" t="n"/>
      <c r="J151" s="23" t="n"/>
      <c r="K151" s="23" t="n"/>
      <c r="L151" s="23" t="n"/>
    </row>
    <row r="152">
      <c r="A152" s="23" t="n"/>
      <c r="B152" s="23" t="n"/>
      <c r="C152" s="23" t="n"/>
      <c r="D152" s="24" t="n"/>
      <c r="E152" s="23" t="n"/>
      <c r="F152" s="23" t="n"/>
      <c r="G152" s="25" t="n"/>
      <c r="H152" s="25" t="n"/>
      <c r="I152" s="23" t="n"/>
      <c r="J152" s="23" t="n"/>
      <c r="K152" s="23" t="n"/>
      <c r="L152" s="23" t="n"/>
    </row>
    <row r="153">
      <c r="A153" s="23" t="n"/>
      <c r="B153" s="23" t="n"/>
      <c r="C153" s="23" t="n"/>
      <c r="D153" s="24" t="n"/>
      <c r="E153" s="23" t="n"/>
      <c r="F153" s="23" t="n"/>
      <c r="G153" s="25" t="n"/>
      <c r="H153" s="25" t="n"/>
      <c r="I153" s="23" t="n"/>
      <c r="J153" s="23" t="n"/>
      <c r="K153" s="23" t="n"/>
      <c r="L153" s="23" t="n"/>
    </row>
    <row r="154">
      <c r="A154" s="23" t="n"/>
      <c r="B154" s="23" t="n"/>
      <c r="C154" s="23" t="n"/>
      <c r="D154" s="24" t="n"/>
      <c r="E154" s="23" t="n"/>
      <c r="F154" s="23" t="n"/>
      <c r="G154" s="25" t="n"/>
      <c r="H154" s="25" t="n"/>
      <c r="I154" s="23" t="n"/>
      <c r="J154" s="23" t="n"/>
      <c r="K154" s="23" t="n"/>
      <c r="L154" s="23" t="n"/>
    </row>
    <row r="155">
      <c r="A155" s="23" t="n"/>
      <c r="B155" s="23" t="n"/>
      <c r="C155" s="23" t="n"/>
      <c r="D155" s="24" t="n"/>
      <c r="E155" s="23" t="n"/>
      <c r="F155" s="23" t="n"/>
      <c r="G155" s="25" t="n"/>
      <c r="H155" s="25" t="n"/>
      <c r="I155" s="23" t="n"/>
      <c r="J155" s="23" t="n"/>
      <c r="K155" s="23" t="n"/>
      <c r="L155" s="23" t="n"/>
    </row>
    <row r="156">
      <c r="A156" s="23" t="n"/>
      <c r="B156" s="23" t="n"/>
      <c r="C156" s="23" t="n"/>
      <c r="D156" s="24" t="n"/>
      <c r="E156" s="23" t="n"/>
      <c r="F156" s="23" t="n"/>
      <c r="G156" s="25" t="n"/>
      <c r="H156" s="25" t="n"/>
      <c r="I156" s="23" t="n"/>
      <c r="J156" s="23" t="n"/>
      <c r="K156" s="23" t="n"/>
      <c r="L156" s="23" t="n"/>
    </row>
    <row r="157">
      <c r="A157" s="23" t="n"/>
      <c r="B157" s="23" t="n"/>
      <c r="C157" s="23" t="n"/>
      <c r="D157" s="24" t="n"/>
      <c r="E157" s="23" t="n"/>
      <c r="F157" s="23" t="n"/>
      <c r="G157" s="25" t="n"/>
      <c r="H157" s="25" t="n"/>
      <c r="I157" s="23" t="n"/>
      <c r="J157" s="23" t="n"/>
      <c r="K157" s="23" t="n"/>
      <c r="L157" s="23" t="n"/>
    </row>
    <row r="158">
      <c r="A158" s="23" t="n"/>
      <c r="B158" s="23" t="n"/>
      <c r="C158" s="23" t="n"/>
      <c r="D158" s="24" t="n"/>
      <c r="E158" s="23" t="n"/>
      <c r="F158" s="23" t="n"/>
      <c r="G158" s="25" t="n"/>
      <c r="H158" s="25" t="n"/>
      <c r="I158" s="23" t="n"/>
      <c r="J158" s="23" t="n"/>
      <c r="K158" s="23" t="n"/>
      <c r="L158" s="23" t="n"/>
    </row>
    <row r="159">
      <c r="A159" s="23" t="n"/>
      <c r="B159" s="23" t="n"/>
      <c r="C159" s="23" t="n"/>
      <c r="D159" s="24" t="n"/>
      <c r="E159" s="23" t="n"/>
      <c r="F159" s="23" t="n"/>
      <c r="G159" s="25" t="n"/>
      <c r="H159" s="25" t="n"/>
      <c r="I159" s="23" t="n"/>
      <c r="J159" s="23" t="n"/>
      <c r="K159" s="23" t="n"/>
      <c r="L159" s="23" t="n"/>
    </row>
    <row r="160">
      <c r="A160" s="23" t="n"/>
      <c r="B160" s="23" t="n"/>
      <c r="C160" s="23" t="n"/>
      <c r="D160" s="24" t="n"/>
      <c r="E160" s="23" t="n"/>
      <c r="F160" s="23" t="n"/>
      <c r="G160" s="25" t="n"/>
      <c r="H160" s="25" t="n"/>
      <c r="I160" s="23" t="n"/>
      <c r="J160" s="23" t="n"/>
      <c r="K160" s="23" t="n"/>
      <c r="L160" s="23" t="n"/>
    </row>
    <row r="161">
      <c r="A161" s="23" t="n"/>
      <c r="B161" s="23" t="n"/>
      <c r="C161" s="23" t="n"/>
      <c r="D161" s="24" t="n"/>
      <c r="E161" s="23" t="n"/>
      <c r="F161" s="23" t="n"/>
      <c r="G161" s="25" t="n"/>
      <c r="H161" s="25" t="n"/>
      <c r="I161" s="23" t="n"/>
      <c r="J161" s="23" t="n"/>
      <c r="K161" s="23" t="n"/>
      <c r="L161" s="23" t="n"/>
    </row>
    <row r="162">
      <c r="A162" s="23" t="n"/>
      <c r="B162" s="23" t="n"/>
      <c r="C162" s="23" t="n"/>
      <c r="D162" s="24" t="n"/>
      <c r="E162" s="23" t="n"/>
      <c r="F162" s="23" t="n"/>
      <c r="G162" s="25" t="n"/>
      <c r="H162" s="25" t="n"/>
      <c r="I162" s="23" t="n"/>
      <c r="J162" s="23" t="n"/>
      <c r="K162" s="23" t="n"/>
      <c r="L162" s="23" t="n"/>
    </row>
    <row r="163">
      <c r="A163" s="23" t="n"/>
      <c r="B163" s="23" t="n"/>
      <c r="C163" s="23" t="n"/>
      <c r="D163" s="24" t="n"/>
      <c r="E163" s="23" t="n"/>
      <c r="F163" s="23" t="n"/>
      <c r="G163" s="25" t="n"/>
      <c r="H163" s="25" t="n"/>
      <c r="I163" s="23" t="n"/>
      <c r="J163" s="23" t="n"/>
      <c r="K163" s="23" t="n"/>
      <c r="L163" s="23" t="n"/>
    </row>
    <row r="164">
      <c r="A164" s="23" t="n"/>
      <c r="B164" s="23" t="n"/>
      <c r="C164" s="23" t="n"/>
      <c r="D164" s="24" t="n"/>
      <c r="E164" s="23" t="n"/>
      <c r="F164" s="23" t="n"/>
      <c r="G164" s="25" t="n"/>
      <c r="H164" s="25" t="n"/>
      <c r="I164" s="23" t="n"/>
      <c r="J164" s="23" t="n"/>
      <c r="K164" s="23" t="n"/>
      <c r="L164" s="23" t="n"/>
    </row>
    <row r="165">
      <c r="A165" s="23" t="n"/>
      <c r="B165" s="23" t="n"/>
      <c r="C165" s="23" t="n"/>
      <c r="D165" s="24" t="n"/>
      <c r="E165" s="23" t="n"/>
      <c r="F165" s="23" t="n"/>
      <c r="G165" s="25" t="n"/>
      <c r="H165" s="25" t="n"/>
      <c r="I165" s="23" t="n"/>
      <c r="J165" s="23" t="n"/>
      <c r="K165" s="23" t="n"/>
      <c r="L165" s="23" t="n"/>
    </row>
    <row r="166">
      <c r="A166" s="23" t="n"/>
      <c r="B166" s="23" t="n"/>
      <c r="C166" s="23" t="n"/>
      <c r="D166" s="24" t="n"/>
      <c r="E166" s="23" t="n"/>
      <c r="F166" s="23" t="n"/>
      <c r="G166" s="25" t="n"/>
      <c r="H166" s="25" t="n"/>
      <c r="I166" s="23" t="n"/>
      <c r="J166" s="23" t="n"/>
      <c r="K166" s="23" t="n"/>
      <c r="L166" s="23" t="n"/>
    </row>
    <row r="167">
      <c r="A167" s="23" t="n"/>
      <c r="B167" s="23" t="n"/>
      <c r="C167" s="23" t="n"/>
      <c r="D167" s="24" t="n"/>
      <c r="E167" s="23" t="n"/>
      <c r="F167" s="23" t="n"/>
      <c r="G167" s="25" t="n"/>
      <c r="H167" s="25" t="n"/>
      <c r="I167" s="23" t="n"/>
      <c r="J167" s="23" t="n"/>
      <c r="K167" s="23" t="n"/>
      <c r="L167" s="23" t="n"/>
    </row>
    <row r="168">
      <c r="A168" s="23" t="n"/>
      <c r="B168" s="23" t="n"/>
      <c r="C168" s="23" t="n"/>
      <c r="D168" s="24" t="n"/>
      <c r="E168" s="23" t="n"/>
      <c r="F168" s="23" t="n"/>
      <c r="G168" s="25" t="n"/>
      <c r="H168" s="25" t="n"/>
      <c r="I168" s="23" t="n"/>
      <c r="J168" s="23" t="n"/>
      <c r="K168" s="23" t="n"/>
      <c r="L168" s="23" t="n"/>
    </row>
    <row r="169">
      <c r="A169" s="23" t="n"/>
      <c r="B169" s="23" t="n"/>
      <c r="C169" s="23" t="n"/>
      <c r="D169" s="24" t="n"/>
      <c r="E169" s="23" t="n"/>
      <c r="F169" s="23" t="n"/>
      <c r="G169" s="25" t="n"/>
      <c r="H169" s="25" t="n"/>
      <c r="I169" s="23" t="n"/>
      <c r="J169" s="23" t="n"/>
      <c r="K169" s="23" t="n"/>
      <c r="L169" s="23" t="n"/>
    </row>
    <row r="170">
      <c r="A170" s="23" t="n"/>
      <c r="B170" s="23" t="n"/>
      <c r="C170" s="23" t="n"/>
      <c r="D170" s="24" t="n"/>
      <c r="E170" s="23" t="n"/>
      <c r="F170" s="23" t="n"/>
      <c r="G170" s="25" t="n"/>
      <c r="H170" s="25" t="n"/>
      <c r="I170" s="23" t="n"/>
      <c r="J170" s="23" t="n"/>
      <c r="K170" s="23" t="n"/>
      <c r="L170" s="23" t="n"/>
    </row>
    <row r="171">
      <c r="A171" s="23" t="n"/>
      <c r="B171" s="23" t="n"/>
      <c r="C171" s="23" t="n"/>
      <c r="D171" s="24" t="n"/>
      <c r="E171" s="23" t="n"/>
      <c r="F171" s="23" t="n"/>
      <c r="G171" s="25" t="n"/>
      <c r="H171" s="25" t="n"/>
      <c r="I171" s="23" t="n"/>
      <c r="J171" s="23" t="n"/>
      <c r="K171" s="23" t="n"/>
      <c r="L171" s="23" t="n"/>
    </row>
    <row r="172">
      <c r="A172" s="23" t="n"/>
      <c r="B172" s="23" t="n"/>
      <c r="C172" s="23" t="n"/>
      <c r="D172" s="24" t="n"/>
      <c r="E172" s="23" t="n"/>
      <c r="F172" s="23" t="n"/>
      <c r="G172" s="25" t="n"/>
      <c r="H172" s="25" t="n"/>
      <c r="I172" s="23" t="n"/>
      <c r="J172" s="23" t="n"/>
      <c r="K172" s="23" t="n"/>
      <c r="L172" s="23" t="n"/>
    </row>
    <row r="173">
      <c r="A173" s="23" t="n"/>
      <c r="B173" s="23" t="n"/>
      <c r="C173" s="23" t="n"/>
      <c r="D173" s="24" t="n"/>
      <c r="E173" s="23" t="n"/>
      <c r="F173" s="23" t="n"/>
      <c r="G173" s="25" t="n"/>
      <c r="H173" s="25" t="n"/>
      <c r="I173" s="23" t="n"/>
      <c r="J173" s="23" t="n"/>
      <c r="K173" s="23" t="n"/>
      <c r="L173" s="23" t="n"/>
    </row>
    <row r="174">
      <c r="A174" s="23" t="n"/>
      <c r="B174" s="23" t="n"/>
      <c r="C174" s="23" t="n"/>
      <c r="D174" s="24" t="n"/>
      <c r="E174" s="23" t="n"/>
      <c r="F174" s="23" t="n"/>
      <c r="G174" s="25" t="n"/>
      <c r="H174" s="25" t="n"/>
      <c r="I174" s="23" t="n"/>
      <c r="J174" s="23" t="n"/>
      <c r="K174" s="23" t="n"/>
      <c r="L174" s="23" t="n"/>
    </row>
    <row r="175">
      <c r="A175" s="23" t="n"/>
      <c r="B175" s="23" t="n"/>
      <c r="C175" s="23" t="n"/>
      <c r="D175" s="24" t="n"/>
      <c r="E175" s="23" t="n"/>
      <c r="F175" s="23" t="n"/>
      <c r="G175" s="25" t="n"/>
      <c r="H175" s="25" t="n"/>
      <c r="I175" s="23" t="n"/>
      <c r="J175" s="23" t="n"/>
      <c r="K175" s="23" t="n"/>
      <c r="L175" s="23" t="n"/>
    </row>
    <row r="176">
      <c r="A176" s="23" t="n"/>
      <c r="B176" s="23" t="n"/>
      <c r="C176" s="23" t="n"/>
      <c r="D176" s="24" t="n"/>
      <c r="E176" s="23" t="n"/>
      <c r="F176" s="23" t="n"/>
      <c r="G176" s="25" t="n"/>
      <c r="H176" s="25" t="n"/>
      <c r="I176" s="23" t="n"/>
      <c r="J176" s="23" t="n"/>
      <c r="K176" s="23" t="n"/>
      <c r="L176" s="23" t="n"/>
    </row>
    <row r="177">
      <c r="A177" s="23" t="n"/>
      <c r="B177" s="23" t="n"/>
      <c r="C177" s="23" t="n"/>
      <c r="D177" s="24" t="n"/>
      <c r="E177" s="23" t="n"/>
      <c r="F177" s="23" t="n"/>
      <c r="G177" s="25" t="n"/>
      <c r="H177" s="25" t="n"/>
      <c r="I177" s="23" t="n"/>
      <c r="J177" s="23" t="n"/>
      <c r="K177" s="23" t="n"/>
      <c r="L177" s="23" t="n"/>
    </row>
    <row r="178">
      <c r="A178" s="23" t="n"/>
      <c r="B178" s="23" t="n"/>
      <c r="C178" s="23" t="n"/>
      <c r="D178" s="24" t="n"/>
      <c r="E178" s="23" t="n"/>
      <c r="F178" s="23" t="n"/>
      <c r="G178" s="25" t="n"/>
      <c r="H178" s="25" t="n"/>
      <c r="I178" s="23" t="n"/>
      <c r="J178" s="23" t="n"/>
      <c r="K178" s="23" t="n"/>
      <c r="L178" s="23" t="n"/>
    </row>
    <row r="179">
      <c r="A179" s="23" t="n"/>
      <c r="B179" s="23" t="n"/>
      <c r="C179" s="23" t="n"/>
      <c r="D179" s="24" t="n"/>
      <c r="E179" s="23" t="n"/>
      <c r="F179" s="23" t="n"/>
      <c r="G179" s="25" t="n"/>
      <c r="H179" s="25" t="n"/>
      <c r="I179" s="23" t="n"/>
      <c r="J179" s="23" t="n"/>
      <c r="K179" s="23" t="n"/>
      <c r="L179" s="23" t="n"/>
    </row>
    <row r="180">
      <c r="A180" s="23" t="n"/>
      <c r="B180" s="23" t="n"/>
      <c r="C180" s="23" t="n"/>
      <c r="D180" s="24" t="n"/>
      <c r="E180" s="23" t="n"/>
      <c r="F180" s="23" t="n"/>
      <c r="G180" s="25" t="n"/>
      <c r="H180" s="25" t="n"/>
      <c r="I180" s="23" t="n"/>
      <c r="J180" s="23" t="n"/>
      <c r="K180" s="23" t="n"/>
      <c r="L180" s="23" t="n"/>
    </row>
    <row r="181">
      <c r="A181" s="23" t="n"/>
      <c r="B181" s="23" t="n"/>
      <c r="C181" s="23" t="n"/>
      <c r="D181" s="24" t="n"/>
      <c r="E181" s="23" t="n"/>
      <c r="F181" s="23" t="n"/>
      <c r="G181" s="25" t="n"/>
      <c r="H181" s="25" t="n"/>
      <c r="I181" s="23" t="n"/>
      <c r="J181" s="23" t="n"/>
      <c r="K181" s="23" t="n"/>
      <c r="L181" s="23" t="n"/>
    </row>
    <row r="182">
      <c r="A182" s="23" t="n"/>
      <c r="B182" s="23" t="n"/>
      <c r="C182" s="23" t="n"/>
      <c r="D182" s="24" t="n"/>
      <c r="E182" s="23" t="n"/>
      <c r="F182" s="23" t="n"/>
      <c r="G182" s="25" t="n"/>
      <c r="H182" s="25" t="n"/>
      <c r="I182" s="23" t="n"/>
      <c r="J182" s="23" t="n"/>
      <c r="K182" s="23" t="n"/>
      <c r="L182" s="23" t="n"/>
    </row>
    <row r="183">
      <c r="A183" s="23" t="n"/>
      <c r="B183" s="23" t="n"/>
      <c r="C183" s="23" t="n"/>
      <c r="D183" s="24" t="n"/>
      <c r="E183" s="23" t="n"/>
      <c r="F183" s="23" t="n"/>
      <c r="G183" s="25" t="n"/>
      <c r="H183" s="25" t="n"/>
      <c r="I183" s="23" t="n"/>
      <c r="J183" s="23" t="n"/>
      <c r="K183" s="23" t="n"/>
      <c r="L183" s="23" t="n"/>
    </row>
    <row r="184">
      <c r="A184" s="23" t="n"/>
      <c r="B184" s="23" t="n"/>
      <c r="C184" s="23" t="n"/>
      <c r="D184" s="24" t="n"/>
      <c r="E184" s="23" t="n"/>
      <c r="F184" s="23" t="n"/>
      <c r="G184" s="25" t="n"/>
      <c r="H184" s="25" t="n"/>
      <c r="I184" s="23" t="n"/>
      <c r="J184" s="23" t="n"/>
      <c r="K184" s="23" t="n"/>
      <c r="L184" s="23" t="n"/>
    </row>
    <row r="185">
      <c r="A185" s="23" t="n"/>
      <c r="B185" s="23" t="n"/>
      <c r="C185" s="23" t="n"/>
      <c r="D185" s="24" t="n"/>
      <c r="E185" s="23" t="n"/>
      <c r="F185" s="23" t="n"/>
      <c r="G185" s="25" t="n"/>
      <c r="H185" s="25" t="n"/>
      <c r="I185" s="23" t="n"/>
      <c r="J185" s="23" t="n"/>
      <c r="K185" s="23" t="n"/>
      <c r="L185" s="23" t="n"/>
    </row>
    <row r="186">
      <c r="A186" s="23" t="n"/>
      <c r="B186" s="23" t="n"/>
      <c r="C186" s="23" t="n"/>
      <c r="D186" s="24" t="n"/>
      <c r="E186" s="23" t="n"/>
      <c r="F186" s="23" t="n"/>
      <c r="G186" s="25" t="n"/>
      <c r="H186" s="25" t="n"/>
      <c r="I186" s="23" t="n"/>
      <c r="J186" s="23" t="n"/>
      <c r="K186" s="23" t="n"/>
      <c r="L186" s="23" t="n"/>
    </row>
    <row r="187">
      <c r="A187" s="23" t="n"/>
      <c r="B187" s="23" t="n"/>
      <c r="C187" s="23" t="n"/>
      <c r="D187" s="24" t="n"/>
      <c r="E187" s="23" t="n"/>
      <c r="F187" s="23" t="n"/>
      <c r="G187" s="25" t="n"/>
      <c r="H187" s="25" t="n"/>
      <c r="I187" s="23" t="n"/>
      <c r="J187" s="23" t="n"/>
      <c r="K187" s="23" t="n"/>
      <c r="L187" s="23" t="n"/>
    </row>
    <row r="188">
      <c r="A188" s="23" t="n"/>
      <c r="B188" s="23" t="n"/>
      <c r="C188" s="23" t="n"/>
      <c r="D188" s="24" t="n"/>
      <c r="E188" s="23" t="n"/>
      <c r="F188" s="23" t="n"/>
      <c r="G188" s="25" t="n"/>
      <c r="H188" s="25" t="n"/>
      <c r="I188" s="23" t="n"/>
      <c r="J188" s="23" t="n"/>
      <c r="K188" s="23" t="n"/>
      <c r="L188" s="23" t="n"/>
    </row>
    <row r="189">
      <c r="A189" s="23" t="n"/>
      <c r="B189" s="23" t="n"/>
      <c r="C189" s="23" t="n"/>
      <c r="D189" s="24" t="n"/>
      <c r="E189" s="23" t="n"/>
      <c r="F189" s="23" t="n"/>
      <c r="G189" s="25" t="n"/>
      <c r="H189" s="25" t="n"/>
      <c r="I189" s="23" t="n"/>
      <c r="J189" s="23" t="n"/>
      <c r="K189" s="23" t="n"/>
      <c r="L189" s="23" t="n"/>
    </row>
    <row r="190">
      <c r="A190" s="23" t="n"/>
      <c r="B190" s="23" t="n"/>
      <c r="C190" s="23" t="n"/>
      <c r="D190" s="24" t="n"/>
      <c r="E190" s="23" t="n"/>
      <c r="F190" s="23" t="n"/>
      <c r="G190" s="25" t="n"/>
      <c r="H190" s="25" t="n"/>
      <c r="I190" s="23" t="n"/>
      <c r="J190" s="23" t="n"/>
      <c r="K190" s="23" t="n"/>
      <c r="L190" s="23" t="n"/>
    </row>
    <row r="191">
      <c r="A191" s="23" t="n"/>
      <c r="B191" s="23" t="n"/>
      <c r="C191" s="23" t="n"/>
      <c r="D191" s="24" t="n"/>
      <c r="E191" s="23" t="n"/>
      <c r="F191" s="23" t="n"/>
      <c r="G191" s="25" t="n"/>
      <c r="H191" s="25" t="n"/>
      <c r="I191" s="23" t="n"/>
      <c r="J191" s="23" t="n"/>
      <c r="K191" s="23" t="n"/>
      <c r="L191" s="23" t="n"/>
    </row>
    <row r="192">
      <c r="A192" s="23" t="n"/>
      <c r="B192" s="23" t="n"/>
      <c r="C192" s="23" t="n"/>
      <c r="D192" s="24" t="n"/>
      <c r="E192" s="23" t="n"/>
      <c r="F192" s="23" t="n"/>
      <c r="G192" s="25" t="n"/>
      <c r="H192" s="25" t="n"/>
      <c r="I192" s="23" t="n"/>
      <c r="J192" s="23" t="n"/>
      <c r="K192" s="23" t="n"/>
      <c r="L192" s="23" t="n"/>
    </row>
    <row r="193">
      <c r="A193" s="23" t="n"/>
      <c r="B193" s="23" t="n"/>
      <c r="C193" s="23" t="n"/>
      <c r="D193" s="24" t="n"/>
      <c r="E193" s="23" t="n"/>
      <c r="F193" s="23" t="n"/>
      <c r="G193" s="25" t="n"/>
      <c r="H193" s="25" t="n"/>
      <c r="I193" s="23" t="n"/>
      <c r="J193" s="23" t="n"/>
      <c r="K193" s="23" t="n"/>
      <c r="L193" s="23" t="n"/>
    </row>
    <row r="194">
      <c r="A194" s="23" t="n"/>
      <c r="B194" s="23" t="n"/>
      <c r="C194" s="23" t="n"/>
      <c r="D194" s="24" t="n"/>
      <c r="E194" s="23" t="n"/>
      <c r="F194" s="23" t="n"/>
      <c r="G194" s="25" t="n"/>
      <c r="H194" s="25" t="n"/>
      <c r="I194" s="23" t="n"/>
      <c r="J194" s="23" t="n"/>
      <c r="K194" s="23" t="n"/>
      <c r="L194" s="23" t="n"/>
    </row>
    <row r="195">
      <c r="A195" s="23" t="n"/>
      <c r="B195" s="23" t="n"/>
      <c r="C195" s="23" t="n"/>
      <c r="D195" s="24" t="n"/>
      <c r="E195" s="23" t="n"/>
      <c r="F195" s="23" t="n"/>
      <c r="G195" s="25" t="n"/>
      <c r="H195" s="25" t="n"/>
      <c r="I195" s="23" t="n"/>
      <c r="J195" s="23" t="n"/>
      <c r="K195" s="23" t="n"/>
      <c r="L195" s="23" t="n"/>
    </row>
    <row r="196">
      <c r="A196" s="23" t="n"/>
      <c r="B196" s="23" t="n"/>
      <c r="C196" s="23" t="n"/>
      <c r="D196" s="24" t="n"/>
      <c r="E196" s="23" t="n"/>
      <c r="F196" s="23" t="n"/>
      <c r="G196" s="25" t="n"/>
      <c r="H196" s="25" t="n"/>
      <c r="I196" s="23" t="n"/>
      <c r="J196" s="23" t="n"/>
      <c r="K196" s="23" t="n"/>
      <c r="L196" s="23" t="n"/>
    </row>
    <row r="197">
      <c r="A197" s="23" t="n"/>
      <c r="B197" s="23" t="n"/>
      <c r="C197" s="23" t="n"/>
      <c r="D197" s="24" t="n"/>
      <c r="E197" s="23" t="n"/>
      <c r="F197" s="23" t="n"/>
      <c r="G197" s="25" t="n"/>
      <c r="H197" s="25" t="n"/>
      <c r="I197" s="23" t="n"/>
      <c r="J197" s="23" t="n"/>
      <c r="K197" s="23" t="n"/>
      <c r="L197" s="23" t="n"/>
    </row>
    <row r="198">
      <c r="A198" s="23" t="n"/>
      <c r="B198" s="23" t="n"/>
      <c r="C198" s="23" t="n"/>
      <c r="D198" s="24" t="n"/>
      <c r="E198" s="23" t="n"/>
      <c r="F198" s="23" t="n"/>
      <c r="G198" s="25" t="n"/>
      <c r="H198" s="25" t="n"/>
      <c r="I198" s="23" t="n"/>
      <c r="J198" s="23" t="n"/>
      <c r="K198" s="23" t="n"/>
      <c r="L198" s="23" t="n"/>
    </row>
    <row r="199">
      <c r="A199" s="23" t="n"/>
      <c r="B199" s="23" t="n"/>
      <c r="C199" s="23" t="n"/>
      <c r="D199" s="24" t="n"/>
      <c r="E199" s="23" t="n"/>
      <c r="F199" s="23" t="n"/>
      <c r="G199" s="25" t="n"/>
      <c r="H199" s="25" t="n"/>
      <c r="I199" s="23" t="n"/>
      <c r="J199" s="23" t="n"/>
      <c r="K199" s="23" t="n"/>
      <c r="L199" s="23" t="n"/>
    </row>
    <row r="200">
      <c r="A200" s="23" t="n"/>
      <c r="B200" s="23" t="n"/>
      <c r="C200" s="23" t="n"/>
      <c r="D200" s="24" t="n"/>
      <c r="E200" s="23" t="n"/>
      <c r="F200" s="23" t="n"/>
      <c r="G200" s="25" t="n"/>
      <c r="H200" s="25" t="n"/>
      <c r="I200" s="23" t="n"/>
      <c r="J200" s="23" t="n"/>
      <c r="K200" s="23" t="n"/>
      <c r="L200" s="23" t="n"/>
    </row>
    <row r="201">
      <c r="A201" s="23" t="n"/>
      <c r="B201" s="23" t="n"/>
      <c r="C201" s="23" t="n"/>
      <c r="D201" s="24" t="n"/>
      <c r="E201" s="23" t="n"/>
      <c r="F201" s="23" t="n"/>
      <c r="G201" s="25" t="n"/>
      <c r="H201" s="25" t="n"/>
      <c r="I201" s="23" t="n"/>
      <c r="J201" s="23" t="n"/>
      <c r="K201" s="23" t="n"/>
      <c r="L201" s="23" t="n"/>
    </row>
    <row r="202">
      <c r="A202" s="23" t="n"/>
      <c r="B202" s="23" t="n"/>
      <c r="C202" s="23" t="n"/>
      <c r="D202" s="24" t="n"/>
      <c r="E202" s="23" t="n"/>
      <c r="F202" s="23" t="n"/>
      <c r="G202" s="25" t="n"/>
      <c r="H202" s="25" t="n"/>
      <c r="I202" s="23" t="n"/>
      <c r="J202" s="23" t="n"/>
      <c r="K202" s="23" t="n"/>
      <c r="L202" s="23" t="n"/>
    </row>
    <row r="203">
      <c r="A203" s="23" t="n"/>
      <c r="B203" s="23" t="n"/>
      <c r="C203" s="23" t="n"/>
      <c r="D203" s="24" t="n"/>
      <c r="E203" s="23" t="n"/>
      <c r="F203" s="23" t="n"/>
      <c r="G203" s="25" t="n"/>
      <c r="H203" s="25" t="n"/>
      <c r="I203" s="23" t="n"/>
      <c r="J203" s="23" t="n"/>
      <c r="K203" s="23" t="n"/>
      <c r="L203" s="23" t="n"/>
    </row>
    <row r="204">
      <c r="A204" s="23" t="n"/>
      <c r="B204" s="23" t="n"/>
      <c r="C204" s="23" t="n"/>
      <c r="D204" s="24" t="n"/>
      <c r="E204" s="23" t="n"/>
      <c r="F204" s="23" t="n"/>
      <c r="G204" s="25" t="n"/>
      <c r="H204" s="25" t="n"/>
      <c r="I204" s="23" t="n"/>
      <c r="J204" s="23" t="n"/>
      <c r="K204" s="23" t="n"/>
      <c r="L204" s="23" t="n"/>
    </row>
    <row r="205">
      <c r="A205" s="23" t="n"/>
      <c r="B205" s="23" t="n"/>
      <c r="C205" s="23" t="n"/>
      <c r="D205" s="24" t="n"/>
      <c r="E205" s="23" t="n"/>
      <c r="F205" s="23" t="n"/>
      <c r="G205" s="25" t="n"/>
      <c r="H205" s="25" t="n"/>
      <c r="I205" s="23" t="n"/>
      <c r="J205" s="23" t="n"/>
      <c r="K205" s="23" t="n"/>
      <c r="L205" s="23" t="n"/>
    </row>
    <row r="206">
      <c r="A206" s="23" t="n"/>
      <c r="B206" s="23" t="n"/>
      <c r="C206" s="23" t="n"/>
      <c r="D206" s="24" t="n"/>
      <c r="E206" s="23" t="n"/>
      <c r="F206" s="23" t="n"/>
      <c r="G206" s="25" t="n"/>
      <c r="H206" s="25" t="n"/>
      <c r="I206" s="23" t="n"/>
      <c r="J206" s="23" t="n"/>
      <c r="K206" s="23" t="n"/>
      <c r="L206" s="23" t="n"/>
    </row>
    <row r="207">
      <c r="A207" s="23" t="n"/>
      <c r="B207" s="23" t="n"/>
      <c r="C207" s="23" t="n"/>
      <c r="D207" s="24" t="n"/>
      <c r="E207" s="23" t="n"/>
      <c r="F207" s="23" t="n"/>
      <c r="G207" s="25" t="n"/>
      <c r="H207" s="25" t="n"/>
      <c r="I207" s="23" t="n"/>
      <c r="J207" s="23" t="n"/>
      <c r="K207" s="23" t="n"/>
      <c r="L207" s="23" t="n"/>
    </row>
    <row r="208">
      <c r="A208" s="23" t="n"/>
      <c r="B208" s="23" t="n"/>
      <c r="C208" s="23" t="n"/>
      <c r="D208" s="24" t="n"/>
      <c r="E208" s="23" t="n"/>
      <c r="F208" s="23" t="n"/>
      <c r="G208" s="25" t="n"/>
      <c r="H208" s="25" t="n"/>
      <c r="I208" s="23" t="n"/>
      <c r="J208" s="23" t="n"/>
      <c r="K208" s="23" t="n"/>
      <c r="L208" s="23" t="n"/>
    </row>
    <row r="209">
      <c r="A209" s="23" t="n"/>
      <c r="B209" s="23" t="n"/>
      <c r="C209" s="23" t="n"/>
      <c r="D209" s="24" t="n"/>
      <c r="E209" s="23" t="n"/>
      <c r="F209" s="23" t="n"/>
      <c r="G209" s="25" t="n"/>
      <c r="H209" s="25" t="n"/>
      <c r="I209" s="23" t="n"/>
      <c r="J209" s="23" t="n"/>
      <c r="K209" s="23" t="n"/>
      <c r="L209" s="23" t="n"/>
    </row>
    <row r="210">
      <c r="A210" s="23" t="n"/>
      <c r="B210" s="23" t="n"/>
      <c r="C210" s="23" t="n"/>
      <c r="D210" s="24" t="n"/>
      <c r="E210" s="23" t="n"/>
      <c r="F210" s="23" t="n"/>
      <c r="G210" s="25" t="n"/>
      <c r="H210" s="25" t="n"/>
      <c r="I210" s="23" t="n"/>
      <c r="J210" s="23" t="n"/>
      <c r="K210" s="23" t="n"/>
      <c r="L210" s="23" t="n"/>
    </row>
    <row r="211">
      <c r="A211" s="23" t="n"/>
      <c r="B211" s="23" t="n"/>
      <c r="C211" s="23" t="n"/>
      <c r="D211" s="24" t="n"/>
      <c r="E211" s="23" t="n"/>
      <c r="F211" s="23" t="n"/>
      <c r="G211" s="25" t="n"/>
      <c r="H211" s="25" t="n"/>
      <c r="I211" s="23" t="n"/>
      <c r="J211" s="23" t="n"/>
      <c r="K211" s="23" t="n"/>
      <c r="L211" s="23" t="n"/>
    </row>
    <row r="212">
      <c r="A212" s="23" t="n"/>
      <c r="B212" s="23" t="n"/>
      <c r="C212" s="23" t="n"/>
      <c r="D212" s="24" t="n"/>
      <c r="E212" s="23" t="n"/>
      <c r="F212" s="23" t="n"/>
      <c r="G212" s="25" t="n"/>
      <c r="H212" s="25" t="n"/>
      <c r="I212" s="23" t="n"/>
      <c r="J212" s="23" t="n"/>
      <c r="K212" s="23" t="n"/>
      <c r="L212" s="23" t="n"/>
    </row>
    <row r="213">
      <c r="A213" s="23" t="n"/>
      <c r="B213" s="23" t="n"/>
      <c r="C213" s="23" t="n"/>
      <c r="D213" s="24" t="n"/>
      <c r="E213" s="23" t="n"/>
      <c r="F213" s="23" t="n"/>
      <c r="G213" s="25" t="n"/>
      <c r="H213" s="25" t="n"/>
      <c r="I213" s="23" t="n"/>
      <c r="J213" s="23" t="n"/>
      <c r="K213" s="23" t="n"/>
      <c r="L213" s="23" t="n"/>
    </row>
    <row r="214">
      <c r="A214" s="23" t="n"/>
      <c r="B214" s="23" t="n"/>
      <c r="C214" s="23" t="n"/>
      <c r="D214" s="24" t="n"/>
      <c r="E214" s="23" t="n"/>
      <c r="F214" s="23" t="n"/>
      <c r="G214" s="25" t="n"/>
      <c r="H214" s="25" t="n"/>
      <c r="I214" s="23" t="n"/>
      <c r="J214" s="23" t="n"/>
      <c r="K214" s="23" t="n"/>
      <c r="L214" s="23" t="n"/>
    </row>
    <row r="215">
      <c r="A215" s="23" t="n"/>
      <c r="B215" s="23" t="n"/>
      <c r="C215" s="23" t="n"/>
      <c r="D215" s="24" t="n"/>
      <c r="E215" s="23" t="n"/>
      <c r="F215" s="23" t="n"/>
      <c r="G215" s="25" t="n"/>
      <c r="H215" s="25" t="n"/>
      <c r="I215" s="23" t="n"/>
      <c r="J215" s="23" t="n"/>
      <c r="K215" s="23" t="n"/>
      <c r="L215" s="23" t="n"/>
    </row>
    <row r="216">
      <c r="A216" s="23" t="n"/>
      <c r="B216" s="23" t="n"/>
      <c r="C216" s="23" t="n"/>
      <c r="D216" s="24" t="n"/>
      <c r="E216" s="23" t="n"/>
      <c r="F216" s="23" t="n"/>
      <c r="G216" s="25" t="n"/>
      <c r="H216" s="25" t="n"/>
      <c r="I216" s="23" t="n"/>
      <c r="J216" s="23" t="n"/>
      <c r="K216" s="23" t="n"/>
      <c r="L216" s="23" t="n"/>
    </row>
    <row r="217">
      <c r="A217" s="23" t="n"/>
      <c r="B217" s="23" t="n"/>
      <c r="C217" s="23" t="n"/>
      <c r="D217" s="24" t="n"/>
      <c r="E217" s="23" t="n"/>
      <c r="F217" s="23" t="n"/>
      <c r="G217" s="25" t="n"/>
      <c r="H217" s="25" t="n"/>
      <c r="I217" s="23" t="n"/>
      <c r="J217" s="23" t="n"/>
      <c r="K217" s="23" t="n"/>
      <c r="L217" s="23" t="n"/>
    </row>
    <row r="218">
      <c r="A218" s="23" t="n"/>
      <c r="B218" s="23" t="n"/>
      <c r="C218" s="23" t="n"/>
      <c r="D218" s="24" t="n"/>
      <c r="E218" s="23" t="n"/>
      <c r="F218" s="23" t="n"/>
      <c r="G218" s="25" t="n"/>
      <c r="H218" s="25" t="n"/>
      <c r="I218" s="23" t="n"/>
      <c r="J218" s="23" t="n"/>
      <c r="K218" s="23" t="n"/>
      <c r="L218" s="23" t="n"/>
    </row>
    <row r="219">
      <c r="A219" s="23" t="n"/>
      <c r="B219" s="23" t="n"/>
      <c r="C219" s="23" t="n"/>
      <c r="D219" s="24" t="n"/>
      <c r="E219" s="23" t="n"/>
      <c r="F219" s="23" t="n"/>
      <c r="G219" s="25" t="n"/>
      <c r="H219" s="25" t="n"/>
      <c r="I219" s="23" t="n"/>
      <c r="J219" s="23" t="n"/>
      <c r="K219" s="23" t="n"/>
      <c r="L219" s="23" t="n"/>
    </row>
    <row r="220">
      <c r="A220" s="23" t="n"/>
      <c r="B220" s="23" t="n"/>
      <c r="C220" s="23" t="n"/>
      <c r="D220" s="24" t="n"/>
      <c r="E220" s="23" t="n"/>
      <c r="F220" s="23" t="n"/>
      <c r="G220" s="25" t="n"/>
      <c r="H220" s="25" t="n"/>
      <c r="I220" s="23" t="n"/>
      <c r="J220" s="23" t="n"/>
      <c r="K220" s="23" t="n"/>
      <c r="L220" s="23" t="n"/>
    </row>
    <row r="221">
      <c r="A221" s="23" t="n"/>
      <c r="B221" s="23" t="n"/>
      <c r="C221" s="23" t="n"/>
      <c r="D221" s="24" t="n"/>
      <c r="E221" s="23" t="n"/>
      <c r="F221" s="23" t="n"/>
      <c r="G221" s="25" t="n"/>
      <c r="H221" s="25" t="n"/>
      <c r="I221" s="23" t="n"/>
      <c r="J221" s="23" t="n"/>
      <c r="K221" s="23" t="n"/>
      <c r="L221" s="23" t="n"/>
    </row>
    <row r="222">
      <c r="A222" s="23" t="n"/>
      <c r="B222" s="23" t="n"/>
      <c r="C222" s="23" t="n"/>
      <c r="D222" s="24" t="n"/>
      <c r="E222" s="23" t="n"/>
      <c r="F222" s="23" t="n"/>
      <c r="G222" s="25" t="n"/>
      <c r="H222" s="25" t="n"/>
      <c r="I222" s="23" t="n"/>
      <c r="J222" s="23" t="n"/>
      <c r="K222" s="23" t="n"/>
      <c r="L222" s="23" t="n"/>
    </row>
    <row r="223">
      <c r="A223" s="23" t="n"/>
      <c r="B223" s="23" t="n"/>
      <c r="C223" s="23" t="n"/>
      <c r="D223" s="24" t="n"/>
      <c r="E223" s="23" t="n"/>
      <c r="F223" s="23" t="n"/>
      <c r="G223" s="25" t="n"/>
      <c r="H223" s="25" t="n"/>
      <c r="I223" s="23" t="n"/>
      <c r="J223" s="23" t="n"/>
      <c r="K223" s="23" t="n"/>
      <c r="L223" s="23" t="n"/>
    </row>
    <row r="224">
      <c r="A224" s="23" t="n"/>
      <c r="B224" s="23" t="n"/>
      <c r="C224" s="23" t="n"/>
      <c r="D224" s="24" t="n"/>
      <c r="E224" s="23" t="n"/>
      <c r="F224" s="23" t="n"/>
      <c r="G224" s="25" t="n"/>
      <c r="H224" s="25" t="n"/>
      <c r="I224" s="23" t="n"/>
      <c r="J224" s="23" t="n"/>
      <c r="K224" s="23" t="n"/>
      <c r="L224" s="23" t="n"/>
    </row>
    <row r="225">
      <c r="A225" s="23" t="n"/>
      <c r="B225" s="23" t="n"/>
      <c r="C225" s="23" t="n"/>
      <c r="D225" s="24" t="n"/>
      <c r="E225" s="23" t="n"/>
      <c r="F225" s="23" t="n"/>
      <c r="G225" s="25" t="n"/>
      <c r="H225" s="25" t="n"/>
      <c r="I225" s="23" t="n"/>
      <c r="J225" s="23" t="n"/>
      <c r="K225" s="23" t="n"/>
      <c r="L225" s="23" t="n"/>
    </row>
    <row r="226">
      <c r="A226" s="23" t="n"/>
      <c r="B226" s="23" t="n"/>
      <c r="C226" s="23" t="n"/>
      <c r="D226" s="24" t="n"/>
      <c r="E226" s="23" t="n"/>
      <c r="F226" s="23" t="n"/>
      <c r="G226" s="25" t="n"/>
      <c r="H226" s="25" t="n"/>
      <c r="I226" s="23" t="n"/>
      <c r="J226" s="23" t="n"/>
      <c r="K226" s="23" t="n"/>
      <c r="L226" s="23" t="n"/>
    </row>
    <row r="227">
      <c r="A227" s="23" t="n"/>
      <c r="B227" s="23" t="n"/>
      <c r="C227" s="23" t="n"/>
      <c r="D227" s="24" t="n"/>
      <c r="E227" s="23" t="n"/>
      <c r="F227" s="23" t="n"/>
      <c r="G227" s="25" t="n"/>
      <c r="H227" s="25" t="n"/>
      <c r="I227" s="23" t="n"/>
      <c r="J227" s="23" t="n"/>
      <c r="K227" s="23" t="n"/>
      <c r="L227" s="23" t="n"/>
    </row>
    <row r="228">
      <c r="A228" s="23" t="n"/>
      <c r="B228" s="23" t="n"/>
      <c r="C228" s="23" t="n"/>
      <c r="D228" s="24" t="n"/>
      <c r="E228" s="23" t="n"/>
      <c r="F228" s="23" t="n"/>
      <c r="G228" s="25" t="n"/>
      <c r="H228" s="25" t="n"/>
      <c r="I228" s="23" t="n"/>
      <c r="J228" s="23" t="n"/>
      <c r="K228" s="23" t="n"/>
      <c r="L228" s="23" t="n"/>
    </row>
    <row r="229">
      <c r="A229" s="23" t="n"/>
      <c r="B229" s="23" t="n"/>
      <c r="C229" s="23" t="n"/>
      <c r="D229" s="24" t="n"/>
      <c r="E229" s="23" t="n"/>
      <c r="F229" s="23" t="n"/>
      <c r="G229" s="25" t="n"/>
      <c r="H229" s="25" t="n"/>
      <c r="I229" s="23" t="n"/>
      <c r="J229" s="23" t="n"/>
      <c r="K229" s="23" t="n"/>
      <c r="L229" s="23" t="n"/>
    </row>
    <row r="230">
      <c r="A230" s="23" t="n"/>
      <c r="B230" s="23" t="n"/>
      <c r="C230" s="23" t="n"/>
      <c r="D230" s="24" t="n"/>
      <c r="E230" s="23" t="n"/>
      <c r="F230" s="23" t="n"/>
      <c r="G230" s="25" t="n"/>
      <c r="H230" s="25" t="n"/>
      <c r="I230" s="23" t="n"/>
      <c r="J230" s="23" t="n"/>
      <c r="K230" s="23" t="n"/>
      <c r="L230" s="23" t="n"/>
    </row>
    <row r="231">
      <c r="A231" s="23" t="n"/>
      <c r="B231" s="23" t="n"/>
      <c r="C231" s="23" t="n"/>
      <c r="D231" s="24" t="n"/>
      <c r="E231" s="23" t="n"/>
      <c r="F231" s="23" t="n"/>
      <c r="G231" s="25" t="n"/>
      <c r="H231" s="25" t="n"/>
      <c r="I231" s="23" t="n"/>
      <c r="J231" s="23" t="n"/>
      <c r="K231" s="23" t="n"/>
      <c r="L231" s="23" t="n"/>
    </row>
    <row r="232">
      <c r="A232" s="23" t="n"/>
      <c r="B232" s="23" t="n"/>
      <c r="C232" s="23" t="n"/>
      <c r="D232" s="24" t="n"/>
      <c r="E232" s="23" t="n"/>
      <c r="F232" s="23" t="n"/>
      <c r="G232" s="25" t="n"/>
      <c r="H232" s="25" t="n"/>
      <c r="I232" s="23" t="n"/>
      <c r="J232" s="23" t="n"/>
      <c r="K232" s="23" t="n"/>
      <c r="L232" s="23" t="n"/>
    </row>
    <row r="233">
      <c r="A233" s="23" t="n"/>
      <c r="B233" s="23" t="n"/>
      <c r="C233" s="23" t="n"/>
      <c r="D233" s="24" t="n"/>
      <c r="E233" s="23" t="n"/>
      <c r="F233" s="23" t="n"/>
      <c r="G233" s="25" t="n"/>
      <c r="H233" s="25" t="n"/>
      <c r="I233" s="23" t="n"/>
      <c r="J233" s="23" t="n"/>
      <c r="K233" s="23" t="n"/>
      <c r="L233" s="23" t="n"/>
    </row>
    <row r="234">
      <c r="A234" s="23" t="n"/>
      <c r="B234" s="23" t="n"/>
      <c r="C234" s="23" t="n"/>
      <c r="D234" s="24" t="n"/>
      <c r="E234" s="23" t="n"/>
      <c r="F234" s="23" t="n"/>
      <c r="G234" s="25" t="n"/>
      <c r="H234" s="25" t="n"/>
      <c r="I234" s="23" t="n"/>
      <c r="J234" s="23" t="n"/>
      <c r="K234" s="23" t="n"/>
      <c r="L234" s="23" t="n"/>
    </row>
    <row r="235">
      <c r="A235" s="23" t="n"/>
      <c r="B235" s="23" t="n"/>
      <c r="C235" s="23" t="n"/>
      <c r="D235" s="24" t="n"/>
      <c r="E235" s="23" t="n"/>
      <c r="F235" s="23" t="n"/>
      <c r="G235" s="25" t="n"/>
      <c r="H235" s="25" t="n"/>
      <c r="I235" s="23" t="n"/>
      <c r="J235" s="23" t="n"/>
      <c r="K235" s="23" t="n"/>
      <c r="L235" s="23" t="n"/>
    </row>
    <row r="236">
      <c r="A236" s="23" t="n"/>
      <c r="B236" s="23" t="n"/>
      <c r="C236" s="23" t="n"/>
      <c r="D236" s="24" t="n"/>
      <c r="E236" s="23" t="n"/>
      <c r="F236" s="23" t="n"/>
      <c r="G236" s="25" t="n"/>
      <c r="H236" s="25" t="n"/>
      <c r="I236" s="23" t="n"/>
      <c r="J236" s="23" t="n"/>
      <c r="K236" s="23" t="n"/>
      <c r="L236" s="23" t="n"/>
    </row>
    <row r="237">
      <c r="A237" s="23" t="n"/>
      <c r="B237" s="23" t="n"/>
      <c r="C237" s="23" t="n"/>
      <c r="D237" s="24" t="n"/>
      <c r="E237" s="23" t="n"/>
      <c r="F237" s="23" t="n"/>
      <c r="G237" s="25" t="n"/>
      <c r="H237" s="25" t="n"/>
      <c r="I237" s="23" t="n"/>
      <c r="J237" s="23" t="n"/>
      <c r="K237" s="23" t="n"/>
      <c r="L237" s="23" t="n"/>
    </row>
    <row r="238">
      <c r="A238" s="23" t="n"/>
      <c r="B238" s="23" t="n"/>
      <c r="C238" s="23" t="n"/>
      <c r="D238" s="24" t="n"/>
      <c r="E238" s="23" t="n"/>
      <c r="F238" s="23" t="n"/>
      <c r="G238" s="25" t="n"/>
      <c r="H238" s="25" t="n"/>
      <c r="I238" s="23" t="n"/>
      <c r="J238" s="23" t="n"/>
      <c r="K238" s="23" t="n"/>
      <c r="L238" s="23" t="n"/>
    </row>
    <row r="239">
      <c r="A239" s="23" t="n"/>
      <c r="B239" s="23" t="n"/>
      <c r="C239" s="23" t="n"/>
      <c r="D239" s="24" t="n"/>
      <c r="E239" s="23" t="n"/>
      <c r="F239" s="23" t="n"/>
      <c r="G239" s="25" t="n"/>
      <c r="H239" s="25" t="n"/>
      <c r="I239" s="23" t="n"/>
      <c r="J239" s="23" t="n"/>
      <c r="K239" s="23" t="n"/>
      <c r="L239" s="23" t="n"/>
    </row>
    <row r="240">
      <c r="A240" s="23" t="n"/>
      <c r="B240" s="23" t="n"/>
      <c r="C240" s="23" t="n"/>
      <c r="D240" s="24" t="n"/>
      <c r="E240" s="23" t="n"/>
      <c r="F240" s="23" t="n"/>
      <c r="G240" s="25" t="n"/>
      <c r="H240" s="25" t="n"/>
      <c r="I240" s="23" t="n"/>
      <c r="J240" s="23" t="n"/>
      <c r="K240" s="23" t="n"/>
      <c r="L240" s="23" t="n"/>
    </row>
    <row r="241">
      <c r="A241" s="23" t="n"/>
      <c r="B241" s="23" t="n"/>
      <c r="C241" s="23" t="n"/>
      <c r="D241" s="24" t="n"/>
      <c r="E241" s="23" t="n"/>
      <c r="F241" s="23" t="n"/>
      <c r="G241" s="25" t="n"/>
      <c r="H241" s="25" t="n"/>
      <c r="I241" s="23" t="n"/>
      <c r="J241" s="23" t="n"/>
      <c r="K241" s="23" t="n"/>
      <c r="L241" s="23" t="n"/>
    </row>
    <row r="242">
      <c r="A242" s="23" t="n"/>
      <c r="B242" s="23" t="n"/>
      <c r="C242" s="23" t="n"/>
      <c r="D242" s="24" t="n"/>
      <c r="E242" s="23" t="n"/>
      <c r="F242" s="23" t="n"/>
      <c r="G242" s="25" t="n"/>
      <c r="H242" s="25" t="n"/>
      <c r="I242" s="23" t="n"/>
      <c r="J242" s="23" t="n"/>
      <c r="K242" s="23" t="n"/>
      <c r="L242" s="23" t="n"/>
    </row>
    <row r="243">
      <c r="A243" s="23" t="n"/>
      <c r="B243" s="23" t="n"/>
      <c r="C243" s="23" t="n"/>
      <c r="D243" s="24" t="n"/>
      <c r="E243" s="23" t="n"/>
      <c r="F243" s="23" t="n"/>
      <c r="G243" s="25" t="n"/>
      <c r="H243" s="25" t="n"/>
      <c r="I243" s="23" t="n"/>
      <c r="J243" s="23" t="n"/>
      <c r="K243" s="23" t="n"/>
      <c r="L243" s="23" t="n"/>
    </row>
    <row r="244">
      <c r="A244" s="23" t="n"/>
      <c r="B244" s="23" t="n"/>
      <c r="C244" s="23" t="n"/>
      <c r="D244" s="24" t="n"/>
      <c r="E244" s="23" t="n"/>
      <c r="F244" s="23" t="n"/>
      <c r="G244" s="25" t="n"/>
      <c r="H244" s="25" t="n"/>
      <c r="I244" s="23" t="n"/>
      <c r="J244" s="23" t="n"/>
      <c r="K244" s="23" t="n"/>
      <c r="L244" s="23" t="n"/>
    </row>
    <row r="245">
      <c r="A245" s="23" t="n"/>
      <c r="B245" s="23" t="n"/>
      <c r="C245" s="23" t="n"/>
      <c r="D245" s="24" t="n"/>
      <c r="E245" s="23" t="n"/>
      <c r="F245" s="23" t="n"/>
      <c r="G245" s="25" t="n"/>
      <c r="H245" s="25" t="n"/>
      <c r="I245" s="23" t="n"/>
      <c r="J245" s="23" t="n"/>
      <c r="K245" s="23" t="n"/>
      <c r="L245" s="23" t="n"/>
    </row>
    <row r="246">
      <c r="A246" s="23" t="n"/>
      <c r="B246" s="23" t="n"/>
      <c r="C246" s="23" t="n"/>
      <c r="D246" s="24" t="n"/>
      <c r="E246" s="23" t="n"/>
      <c r="F246" s="23" t="n"/>
      <c r="G246" s="25" t="n"/>
      <c r="H246" s="25" t="n"/>
      <c r="I246" s="23" t="n"/>
      <c r="J246" s="23" t="n"/>
      <c r="K246" s="23" t="n"/>
      <c r="L246" s="23" t="n"/>
    </row>
    <row r="247">
      <c r="A247" s="23" t="n"/>
      <c r="B247" s="23" t="n"/>
      <c r="C247" s="23" t="n"/>
      <c r="D247" s="24" t="n"/>
      <c r="E247" s="23" t="n"/>
      <c r="F247" s="23" t="n"/>
      <c r="G247" s="25" t="n"/>
      <c r="H247" s="25" t="n"/>
      <c r="I247" s="23" t="n"/>
      <c r="J247" s="23" t="n"/>
      <c r="K247" s="23" t="n"/>
      <c r="L247" s="23" t="n"/>
    </row>
    <row r="248">
      <c r="A248" s="23" t="n"/>
      <c r="B248" s="23" t="n"/>
      <c r="C248" s="23" t="n"/>
      <c r="D248" s="24" t="n"/>
      <c r="E248" s="23" t="n"/>
      <c r="F248" s="23" t="n"/>
      <c r="G248" s="25" t="n"/>
      <c r="H248" s="25" t="n"/>
      <c r="I248" s="23" t="n"/>
      <c r="J248" s="23" t="n"/>
      <c r="K248" s="23" t="n"/>
      <c r="L248" s="23" t="n"/>
    </row>
    <row r="249">
      <c r="A249" s="23" t="n"/>
      <c r="B249" s="23" t="n"/>
      <c r="C249" s="23" t="n"/>
      <c r="D249" s="24" t="n"/>
      <c r="E249" s="23" t="n"/>
      <c r="F249" s="23" t="n"/>
      <c r="G249" s="25" t="n"/>
      <c r="H249" s="25" t="n"/>
      <c r="I249" s="23" t="n"/>
      <c r="J249" s="23" t="n"/>
      <c r="K249" s="23" t="n"/>
      <c r="L249" s="23" t="n"/>
    </row>
    <row r="250">
      <c r="A250" s="23" t="n"/>
      <c r="B250" s="23" t="n"/>
      <c r="C250" s="23" t="n"/>
      <c r="D250" s="24" t="n"/>
      <c r="E250" s="23" t="n"/>
      <c r="F250" s="23" t="n"/>
      <c r="G250" s="25" t="n"/>
      <c r="H250" s="25" t="n"/>
      <c r="I250" s="23" t="n"/>
      <c r="J250" s="23" t="n"/>
      <c r="K250" s="23" t="n"/>
      <c r="L250" s="23" t="n"/>
    </row>
    <row r="251">
      <c r="A251" s="23" t="n"/>
      <c r="B251" s="23" t="n"/>
      <c r="C251" s="23" t="n"/>
      <c r="D251" s="24" t="n"/>
      <c r="E251" s="23" t="n"/>
      <c r="F251" s="23" t="n"/>
      <c r="G251" s="25" t="n"/>
      <c r="H251" s="25" t="n"/>
      <c r="I251" s="23" t="n"/>
      <c r="J251" s="23" t="n"/>
      <c r="K251" s="23" t="n"/>
      <c r="L251" s="23" t="n"/>
    </row>
    <row r="252">
      <c r="A252" s="23" t="n"/>
      <c r="B252" s="23" t="n"/>
      <c r="C252" s="23" t="n"/>
      <c r="D252" s="24" t="n"/>
      <c r="E252" s="23" t="n"/>
      <c r="F252" s="23" t="n"/>
      <c r="G252" s="25" t="n"/>
      <c r="H252" s="25" t="n"/>
      <c r="I252" s="23" t="n"/>
      <c r="J252" s="23" t="n"/>
      <c r="K252" s="23" t="n"/>
      <c r="L252" s="23" t="n"/>
    </row>
    <row r="253">
      <c r="A253" s="23" t="n"/>
      <c r="B253" s="23" t="n"/>
      <c r="C253" s="23" t="n"/>
      <c r="D253" s="24" t="n"/>
      <c r="E253" s="23" t="n"/>
      <c r="F253" s="23" t="n"/>
      <c r="G253" s="25" t="n"/>
      <c r="H253" s="25" t="n"/>
      <c r="I253" s="23" t="n"/>
      <c r="J253" s="23" t="n"/>
      <c r="K253" s="23" t="n"/>
      <c r="L253" s="23" t="n"/>
    </row>
    <row r="254">
      <c r="A254" s="23" t="n"/>
      <c r="B254" s="23" t="n"/>
      <c r="C254" s="23" t="n"/>
      <c r="D254" s="24" t="n"/>
      <c r="E254" s="23" t="n"/>
      <c r="F254" s="23" t="n"/>
      <c r="G254" s="25" t="n"/>
      <c r="H254" s="25" t="n"/>
      <c r="I254" s="23" t="n"/>
      <c r="J254" s="23" t="n"/>
      <c r="K254" s="23" t="n"/>
      <c r="L254" s="23" t="n"/>
    </row>
    <row r="255">
      <c r="A255" s="23" t="n"/>
      <c r="B255" s="23" t="n"/>
      <c r="C255" s="23" t="n"/>
      <c r="D255" s="24" t="n"/>
      <c r="E255" s="23" t="n"/>
      <c r="F255" s="23" t="n"/>
      <c r="G255" s="25" t="n"/>
      <c r="H255" s="25" t="n"/>
      <c r="I255" s="23" t="n"/>
      <c r="J255" s="23" t="n"/>
      <c r="K255" s="23" t="n"/>
      <c r="L255" s="23" t="n"/>
    </row>
    <row r="256">
      <c r="A256" s="23" t="n"/>
      <c r="B256" s="23" t="n"/>
      <c r="C256" s="23" t="n"/>
      <c r="D256" s="24" t="n"/>
      <c r="E256" s="23" t="n"/>
      <c r="F256" s="23" t="n"/>
      <c r="G256" s="25" t="n"/>
      <c r="H256" s="25" t="n"/>
      <c r="I256" s="23" t="n"/>
      <c r="J256" s="23" t="n"/>
      <c r="K256" s="23" t="n"/>
      <c r="L256" s="23" t="n"/>
    </row>
    <row r="257">
      <c r="A257" s="23" t="n"/>
      <c r="B257" s="23" t="n"/>
      <c r="C257" s="23" t="n"/>
      <c r="D257" s="24" t="n"/>
      <c r="E257" s="23" t="n"/>
      <c r="F257" s="23" t="n"/>
      <c r="G257" s="25" t="n"/>
      <c r="H257" s="25" t="n"/>
      <c r="I257" s="23" t="n"/>
      <c r="J257" s="23" t="n"/>
      <c r="K257" s="23" t="n"/>
      <c r="L257" s="23" t="n"/>
    </row>
    <row r="258">
      <c r="A258" s="23" t="n"/>
      <c r="B258" s="23" t="n"/>
      <c r="C258" s="23" t="n"/>
      <c r="D258" s="24" t="n"/>
      <c r="E258" s="23" t="n"/>
      <c r="F258" s="23" t="n"/>
      <c r="G258" s="25" t="n"/>
      <c r="H258" s="25" t="n"/>
      <c r="I258" s="23" t="n"/>
      <c r="J258" s="23" t="n"/>
      <c r="K258" s="23" t="n"/>
      <c r="L258" s="23" t="n"/>
    </row>
    <row r="259">
      <c r="A259" s="23" t="n"/>
      <c r="B259" s="23" t="n"/>
      <c r="C259" s="23" t="n"/>
      <c r="D259" s="24" t="n"/>
      <c r="E259" s="23" t="n"/>
      <c r="F259" s="23" t="n"/>
      <c r="G259" s="25" t="n"/>
      <c r="H259" s="25" t="n"/>
      <c r="I259" s="23" t="n"/>
      <c r="J259" s="23" t="n"/>
      <c r="K259" s="23" t="n"/>
      <c r="L259" s="23" t="n"/>
    </row>
    <row r="260">
      <c r="A260" s="23" t="n"/>
      <c r="B260" s="23" t="n"/>
      <c r="C260" s="23" t="n"/>
      <c r="D260" s="24" t="n"/>
      <c r="E260" s="23" t="n"/>
      <c r="F260" s="23" t="n"/>
      <c r="G260" s="25" t="n"/>
      <c r="H260" s="25" t="n"/>
      <c r="I260" s="23" t="n"/>
      <c r="J260" s="23" t="n"/>
      <c r="K260" s="23" t="n"/>
      <c r="L260" s="23" t="n"/>
    </row>
    <row r="261">
      <c r="A261" s="23" t="n"/>
      <c r="B261" s="23" t="n"/>
      <c r="C261" s="23" t="n"/>
      <c r="D261" s="24" t="n"/>
      <c r="E261" s="23" t="n"/>
      <c r="F261" s="23" t="n"/>
      <c r="G261" s="25" t="n"/>
      <c r="H261" s="25" t="n"/>
      <c r="I261" s="23" t="n"/>
      <c r="J261" s="23" t="n"/>
      <c r="K261" s="23" t="n"/>
      <c r="L261" s="23" t="n"/>
    </row>
    <row r="262">
      <c r="A262" s="23" t="n"/>
      <c r="B262" s="23" t="n"/>
      <c r="C262" s="23" t="n"/>
      <c r="D262" s="24" t="n"/>
      <c r="E262" s="23" t="n"/>
      <c r="F262" s="23" t="n"/>
      <c r="G262" s="25" t="n"/>
      <c r="H262" s="25" t="n"/>
      <c r="I262" s="23" t="n"/>
      <c r="J262" s="23" t="n"/>
      <c r="K262" s="23" t="n"/>
      <c r="L262" s="23" t="n"/>
    </row>
    <row r="263">
      <c r="A263" s="23" t="n"/>
      <c r="B263" s="23" t="n"/>
      <c r="C263" s="23" t="n"/>
      <c r="D263" s="24" t="n"/>
      <c r="E263" s="23" t="n"/>
      <c r="F263" s="23" t="n"/>
      <c r="G263" s="25" t="n"/>
      <c r="H263" s="25" t="n"/>
      <c r="I263" s="23" t="n"/>
      <c r="J263" s="23" t="n"/>
      <c r="K263" s="23" t="n"/>
      <c r="L263" s="23" t="n"/>
    </row>
    <row r="264">
      <c r="A264" s="23" t="n"/>
      <c r="B264" s="23" t="n"/>
      <c r="C264" s="23" t="n"/>
      <c r="D264" s="24" t="n"/>
      <c r="E264" s="23" t="n"/>
      <c r="F264" s="23" t="n"/>
      <c r="G264" s="25" t="n"/>
      <c r="H264" s="25" t="n"/>
      <c r="I264" s="23" t="n"/>
      <c r="J264" s="23" t="n"/>
      <c r="K264" s="23" t="n"/>
      <c r="L264" s="23" t="n"/>
    </row>
    <row r="265">
      <c r="A265" s="23" t="n"/>
      <c r="B265" s="23" t="n"/>
      <c r="C265" s="23" t="n"/>
      <c r="D265" s="24" t="n"/>
      <c r="E265" s="23" t="n"/>
      <c r="F265" s="23" t="n"/>
      <c r="G265" s="25" t="n"/>
      <c r="H265" s="25" t="n"/>
      <c r="I265" s="23" t="n"/>
      <c r="J265" s="23" t="n"/>
      <c r="K265" s="23" t="n"/>
      <c r="L265" s="23" t="n"/>
    </row>
    <row r="266">
      <c r="A266" s="23" t="n"/>
      <c r="B266" s="23" t="n"/>
      <c r="C266" s="23" t="n"/>
      <c r="D266" s="24" t="n"/>
      <c r="E266" s="23" t="n"/>
      <c r="F266" s="23" t="n"/>
      <c r="G266" s="25" t="n"/>
      <c r="H266" s="25" t="n"/>
      <c r="I266" s="23" t="n"/>
      <c r="J266" s="23" t="n"/>
      <c r="K266" s="23" t="n"/>
      <c r="L266" s="23" t="n"/>
    </row>
    <row r="267">
      <c r="A267" s="23" t="n"/>
      <c r="B267" s="23" t="n"/>
      <c r="C267" s="23" t="n"/>
      <c r="D267" s="24" t="n"/>
      <c r="E267" s="23" t="n"/>
      <c r="F267" s="23" t="n"/>
      <c r="G267" s="25" t="n"/>
      <c r="H267" s="25" t="n"/>
      <c r="I267" s="23" t="n"/>
      <c r="J267" s="23" t="n"/>
      <c r="K267" s="23" t="n"/>
      <c r="L267" s="23" t="n"/>
    </row>
    <row r="268">
      <c r="A268" s="23" t="n"/>
      <c r="B268" s="23" t="n"/>
      <c r="C268" s="23" t="n"/>
      <c r="D268" s="24" t="n"/>
      <c r="E268" s="23" t="n"/>
      <c r="F268" s="23" t="n"/>
      <c r="G268" s="25" t="n"/>
      <c r="H268" s="25" t="n"/>
      <c r="I268" s="23" t="n"/>
      <c r="J268" s="23" t="n"/>
      <c r="K268" s="23" t="n"/>
      <c r="L268" s="23" t="n"/>
    </row>
    <row r="269">
      <c r="A269" s="23" t="n"/>
      <c r="B269" s="23" t="n"/>
      <c r="C269" s="23" t="n"/>
      <c r="D269" s="24" t="n"/>
      <c r="E269" s="23" t="n"/>
      <c r="F269" s="23" t="n"/>
      <c r="G269" s="25" t="n"/>
      <c r="H269" s="25" t="n"/>
      <c r="I269" s="23" t="n"/>
      <c r="J269" s="23" t="n"/>
      <c r="K269" s="23" t="n"/>
      <c r="L269" s="23" t="n"/>
    </row>
    <row r="270">
      <c r="A270" s="23" t="n"/>
      <c r="B270" s="23" t="n"/>
      <c r="C270" s="23" t="n"/>
      <c r="D270" s="24" t="n"/>
      <c r="E270" s="23" t="n"/>
      <c r="F270" s="23" t="n"/>
      <c r="G270" s="25" t="n"/>
      <c r="H270" s="25" t="n"/>
      <c r="I270" s="23" t="n"/>
      <c r="J270" s="23" t="n"/>
      <c r="K270" s="23" t="n"/>
      <c r="L270" s="23" t="n"/>
    </row>
    <row r="271">
      <c r="A271" s="23" t="n"/>
      <c r="B271" s="23" t="n"/>
      <c r="C271" s="23" t="n"/>
      <c r="D271" s="24" t="n"/>
      <c r="E271" s="23" t="n"/>
      <c r="F271" s="23" t="n"/>
      <c r="G271" s="25" t="n"/>
      <c r="H271" s="25" t="n"/>
      <c r="I271" s="23" t="n"/>
      <c r="J271" s="23" t="n"/>
      <c r="K271" s="23" t="n"/>
      <c r="L271" s="23" t="n"/>
    </row>
    <row r="272">
      <c r="A272" s="23" t="n"/>
      <c r="B272" s="23" t="n"/>
      <c r="C272" s="23" t="n"/>
      <c r="D272" s="24" t="n"/>
      <c r="E272" s="23" t="n"/>
      <c r="F272" s="23" t="n"/>
      <c r="G272" s="25" t="n"/>
      <c r="H272" s="25" t="n"/>
      <c r="I272" s="23" t="n"/>
      <c r="J272" s="23" t="n"/>
      <c r="K272" s="23" t="n"/>
      <c r="L272" s="23" t="n"/>
    </row>
    <row r="273">
      <c r="A273" s="23" t="n"/>
      <c r="B273" s="23" t="n"/>
      <c r="C273" s="23" t="n"/>
      <c r="D273" s="24" t="n"/>
      <c r="E273" s="23" t="n"/>
      <c r="F273" s="23" t="n"/>
      <c r="G273" s="25" t="n"/>
      <c r="H273" s="25" t="n"/>
      <c r="I273" s="23" t="n"/>
      <c r="J273" s="23" t="n"/>
      <c r="K273" s="23" t="n"/>
      <c r="L273" s="23" t="n"/>
    </row>
    <row r="274">
      <c r="A274" s="23" t="n"/>
      <c r="B274" s="23" t="n"/>
      <c r="C274" s="23" t="n"/>
      <c r="D274" s="24" t="n"/>
      <c r="E274" s="23" t="n"/>
      <c r="F274" s="23" t="n"/>
      <c r="G274" s="25" t="n"/>
      <c r="H274" s="25" t="n"/>
      <c r="I274" s="23" t="n"/>
      <c r="J274" s="23" t="n"/>
      <c r="K274" s="23" t="n"/>
      <c r="L274" s="23" t="n"/>
    </row>
    <row r="275">
      <c r="A275" s="23" t="n"/>
      <c r="B275" s="23" t="n"/>
      <c r="C275" s="23" t="n"/>
      <c r="D275" s="24" t="n"/>
      <c r="E275" s="23" t="n"/>
      <c r="F275" s="23" t="n"/>
      <c r="G275" s="25" t="n"/>
      <c r="H275" s="25" t="n"/>
      <c r="I275" s="23" t="n"/>
      <c r="J275" s="23" t="n"/>
      <c r="K275" s="23" t="n"/>
      <c r="L275" s="23" t="n"/>
    </row>
    <row r="276">
      <c r="A276" s="23" t="n"/>
      <c r="B276" s="23" t="n"/>
      <c r="C276" s="23" t="n"/>
      <c r="D276" s="24" t="n"/>
      <c r="E276" s="23" t="n"/>
      <c r="F276" s="23" t="n"/>
      <c r="G276" s="25" t="n"/>
      <c r="H276" s="25" t="n"/>
      <c r="I276" s="23" t="n"/>
      <c r="J276" s="23" t="n"/>
      <c r="K276" s="23" t="n"/>
      <c r="L276" s="23" t="n"/>
    </row>
    <row r="277">
      <c r="A277" s="23" t="n"/>
      <c r="B277" s="23" t="n"/>
      <c r="C277" s="23" t="n"/>
      <c r="D277" s="24" t="n"/>
      <c r="E277" s="23" t="n"/>
      <c r="F277" s="23" t="n"/>
      <c r="G277" s="25" t="n"/>
      <c r="H277" s="25" t="n"/>
      <c r="I277" s="23" t="n"/>
      <c r="J277" s="23" t="n"/>
      <c r="K277" s="23" t="n"/>
      <c r="L277" s="23" t="n"/>
    </row>
    <row r="278">
      <c r="A278" s="23" t="n"/>
      <c r="B278" s="23" t="n"/>
      <c r="C278" s="23" t="n"/>
      <c r="D278" s="24" t="n"/>
      <c r="E278" s="23" t="n"/>
      <c r="F278" s="23" t="n"/>
      <c r="G278" s="25" t="n"/>
      <c r="H278" s="25" t="n"/>
      <c r="I278" s="23" t="n"/>
      <c r="J278" s="23" t="n"/>
      <c r="K278" s="23" t="n"/>
      <c r="L278" s="23" t="n"/>
    </row>
    <row r="279">
      <c r="A279" s="23" t="n"/>
      <c r="B279" s="23" t="n"/>
      <c r="C279" s="23" t="n"/>
      <c r="D279" s="24" t="n"/>
      <c r="E279" s="23" t="n"/>
      <c r="F279" s="23" t="n"/>
      <c r="G279" s="25" t="n"/>
      <c r="H279" s="25" t="n"/>
      <c r="I279" s="23" t="n"/>
      <c r="J279" s="23" t="n"/>
      <c r="K279" s="23" t="n"/>
      <c r="L279" s="23" t="n"/>
    </row>
    <row r="280">
      <c r="A280" s="23" t="n"/>
      <c r="B280" s="23" t="n"/>
      <c r="C280" s="23" t="n"/>
      <c r="D280" s="24" t="n"/>
      <c r="E280" s="23" t="n"/>
      <c r="F280" s="23" t="n"/>
      <c r="G280" s="25" t="n"/>
      <c r="H280" s="25" t="n"/>
      <c r="I280" s="23" t="n"/>
      <c r="J280" s="23" t="n"/>
      <c r="K280" s="23" t="n"/>
      <c r="L280" s="23" t="n"/>
    </row>
    <row r="281">
      <c r="A281" s="23" t="n"/>
      <c r="B281" s="23" t="n"/>
      <c r="C281" s="23" t="n"/>
      <c r="D281" s="24" t="n"/>
      <c r="E281" s="23" t="n"/>
      <c r="F281" s="23" t="n"/>
      <c r="G281" s="25" t="n"/>
      <c r="H281" s="25" t="n"/>
      <c r="I281" s="23" t="n"/>
      <c r="J281" s="23" t="n"/>
      <c r="K281" s="23" t="n"/>
      <c r="L281" s="23" t="n"/>
    </row>
    <row r="282">
      <c r="A282" s="23" t="n"/>
      <c r="B282" s="23" t="n"/>
      <c r="C282" s="23" t="n"/>
      <c r="D282" s="24" t="n"/>
      <c r="E282" s="23" t="n"/>
      <c r="F282" s="23" t="n"/>
      <c r="G282" s="25" t="n"/>
      <c r="H282" s="25" t="n"/>
      <c r="I282" s="23" t="n"/>
      <c r="J282" s="23" t="n"/>
      <c r="K282" s="23" t="n"/>
      <c r="L282" s="23" t="n"/>
    </row>
    <row r="283">
      <c r="A283" s="23" t="n"/>
      <c r="B283" s="23" t="n"/>
      <c r="C283" s="23" t="n"/>
      <c r="D283" s="24" t="n"/>
      <c r="E283" s="23" t="n"/>
      <c r="F283" s="23" t="n"/>
      <c r="G283" s="25" t="n"/>
      <c r="H283" s="25" t="n"/>
      <c r="I283" s="23" t="n"/>
      <c r="J283" s="23" t="n"/>
      <c r="K283" s="23" t="n"/>
      <c r="L283" s="23" t="n"/>
    </row>
    <row r="284">
      <c r="A284" s="23" t="n"/>
      <c r="B284" s="23" t="n"/>
      <c r="C284" s="23" t="n"/>
      <c r="D284" s="24" t="n"/>
      <c r="E284" s="23" t="n"/>
      <c r="F284" s="23" t="n"/>
      <c r="G284" s="25" t="n"/>
      <c r="H284" s="25" t="n"/>
      <c r="I284" s="23" t="n"/>
      <c r="J284" s="23" t="n"/>
      <c r="K284" s="23" t="n"/>
      <c r="L284" s="23" t="n"/>
    </row>
    <row r="285">
      <c r="A285" s="23" t="n"/>
      <c r="B285" s="23" t="n"/>
      <c r="C285" s="23" t="n"/>
      <c r="D285" s="24" t="n"/>
      <c r="E285" s="23" t="n"/>
      <c r="F285" s="23" t="n"/>
      <c r="G285" s="25" t="n"/>
      <c r="H285" s="25" t="n"/>
      <c r="I285" s="23" t="n"/>
      <c r="J285" s="23" t="n"/>
      <c r="K285" s="23" t="n"/>
      <c r="L285" s="23" t="n"/>
    </row>
    <row r="286">
      <c r="A286" s="23" t="n"/>
      <c r="B286" s="23" t="n"/>
      <c r="C286" s="23" t="n"/>
      <c r="D286" s="24" t="n"/>
      <c r="E286" s="23" t="n"/>
      <c r="F286" s="23" t="n"/>
      <c r="G286" s="25" t="n"/>
      <c r="H286" s="25" t="n"/>
      <c r="I286" s="23" t="n"/>
      <c r="J286" s="23" t="n"/>
      <c r="K286" s="23" t="n"/>
      <c r="L286" s="23" t="n"/>
    </row>
    <row r="287">
      <c r="A287" s="23" t="n"/>
      <c r="B287" s="23" t="n"/>
      <c r="C287" s="23" t="n"/>
      <c r="D287" s="24" t="n"/>
      <c r="E287" s="23" t="n"/>
      <c r="F287" s="23" t="n"/>
      <c r="G287" s="25" t="n"/>
      <c r="H287" s="25" t="n"/>
      <c r="I287" s="23" t="n"/>
      <c r="J287" s="23" t="n"/>
      <c r="K287" s="23" t="n"/>
      <c r="L287" s="23" t="n"/>
    </row>
    <row r="288">
      <c r="A288" s="23" t="n"/>
      <c r="B288" s="23" t="n"/>
      <c r="C288" s="23" t="n"/>
      <c r="D288" s="24" t="n"/>
      <c r="E288" s="23" t="n"/>
      <c r="F288" s="23" t="n"/>
      <c r="G288" s="25" t="n"/>
      <c r="H288" s="25" t="n"/>
      <c r="I288" s="23" t="n"/>
      <c r="J288" s="23" t="n"/>
      <c r="K288" s="23" t="n"/>
      <c r="L288" s="23" t="n"/>
    </row>
    <row r="289">
      <c r="A289" s="23" t="n"/>
      <c r="B289" s="23" t="n"/>
      <c r="C289" s="23" t="n"/>
      <c r="D289" s="24" t="n"/>
      <c r="E289" s="23" t="n"/>
      <c r="F289" s="23" t="n"/>
      <c r="G289" s="25" t="n"/>
      <c r="H289" s="25" t="n"/>
      <c r="I289" s="23" t="n"/>
      <c r="J289" s="23" t="n"/>
      <c r="K289" s="23" t="n"/>
      <c r="L289" s="23" t="n"/>
    </row>
    <row r="290">
      <c r="A290" s="23" t="n"/>
      <c r="B290" s="23" t="n"/>
      <c r="C290" s="23" t="n"/>
      <c r="D290" s="24" t="n"/>
      <c r="E290" s="23" t="n"/>
      <c r="F290" s="23" t="n"/>
      <c r="G290" s="25" t="n"/>
      <c r="H290" s="25" t="n"/>
      <c r="I290" s="23" t="n"/>
      <c r="J290" s="23" t="n"/>
      <c r="K290" s="23" t="n"/>
      <c r="L290" s="23" t="n"/>
    </row>
    <row r="291">
      <c r="A291" s="23" t="n"/>
      <c r="B291" s="23" t="n"/>
      <c r="C291" s="23" t="n"/>
      <c r="D291" s="24" t="n"/>
      <c r="E291" s="23" t="n"/>
      <c r="F291" s="23" t="n"/>
      <c r="G291" s="25" t="n"/>
      <c r="H291" s="25" t="n"/>
      <c r="I291" s="23" t="n"/>
      <c r="J291" s="23" t="n"/>
      <c r="K291" s="23" t="n"/>
      <c r="L291" s="23" t="n"/>
    </row>
    <row r="292">
      <c r="A292" s="23" t="n"/>
      <c r="B292" s="23" t="n"/>
      <c r="C292" s="23" t="n"/>
      <c r="D292" s="24" t="n"/>
      <c r="E292" s="23" t="n"/>
      <c r="F292" s="23" t="n"/>
      <c r="G292" s="25" t="n"/>
      <c r="H292" s="25" t="n"/>
      <c r="I292" s="23" t="n"/>
      <c r="J292" s="23" t="n"/>
      <c r="K292" s="23" t="n"/>
      <c r="L292" s="23" t="n"/>
    </row>
    <row r="293">
      <c r="A293" s="23" t="n"/>
      <c r="B293" s="23" t="n"/>
      <c r="C293" s="23" t="n"/>
      <c r="D293" s="24" t="n"/>
      <c r="E293" s="23" t="n"/>
      <c r="F293" s="23" t="n"/>
      <c r="G293" s="25" t="n"/>
      <c r="H293" s="25" t="n"/>
      <c r="I293" s="23" t="n"/>
      <c r="J293" s="23" t="n"/>
      <c r="K293" s="23" t="n"/>
      <c r="L293" s="23" t="n"/>
    </row>
    <row r="294">
      <c r="A294" s="23" t="n"/>
      <c r="B294" s="23" t="n"/>
      <c r="C294" s="23" t="n"/>
      <c r="D294" s="24" t="n"/>
      <c r="E294" s="23" t="n"/>
      <c r="F294" s="23" t="n"/>
      <c r="G294" s="25" t="n"/>
      <c r="H294" s="25" t="n"/>
      <c r="I294" s="23" t="n"/>
      <c r="J294" s="23" t="n"/>
      <c r="K294" s="23" t="n"/>
      <c r="L294" s="23" t="n"/>
    </row>
    <row r="295">
      <c r="A295" s="23" t="n"/>
      <c r="B295" s="23" t="n"/>
      <c r="C295" s="23" t="n"/>
      <c r="D295" s="24" t="n"/>
      <c r="E295" s="23" t="n"/>
      <c r="F295" s="23" t="n"/>
      <c r="G295" s="25" t="n"/>
      <c r="H295" s="25" t="n"/>
      <c r="I295" s="23" t="n"/>
      <c r="J295" s="23" t="n"/>
      <c r="K295" s="23" t="n"/>
      <c r="L295" s="23" t="n"/>
    </row>
    <row r="296">
      <c r="A296" s="23" t="n"/>
      <c r="B296" s="23" t="n"/>
      <c r="C296" s="23" t="n"/>
      <c r="D296" s="24" t="n"/>
      <c r="E296" s="23" t="n"/>
      <c r="F296" s="23" t="n"/>
      <c r="G296" s="25" t="n"/>
      <c r="H296" s="25" t="n"/>
      <c r="I296" s="23" t="n"/>
      <c r="J296" s="23" t="n"/>
      <c r="K296" s="23" t="n"/>
      <c r="L296" s="23" t="n"/>
    </row>
    <row r="297">
      <c r="A297" s="23" t="n"/>
      <c r="B297" s="23" t="n"/>
      <c r="C297" s="23" t="n"/>
      <c r="D297" s="24" t="n"/>
      <c r="E297" s="23" t="n"/>
      <c r="F297" s="23" t="n"/>
      <c r="G297" s="25" t="n"/>
      <c r="H297" s="25" t="n"/>
      <c r="I297" s="23" t="n"/>
      <c r="J297" s="23" t="n"/>
      <c r="K297" s="23" t="n"/>
      <c r="L297" s="23" t="n"/>
    </row>
    <row r="298">
      <c r="A298" s="23" t="n"/>
      <c r="B298" s="23" t="n"/>
      <c r="C298" s="23" t="n"/>
      <c r="D298" s="24" t="n"/>
      <c r="E298" s="23" t="n"/>
      <c r="F298" s="23" t="n"/>
      <c r="G298" s="25" t="n"/>
      <c r="H298" s="25" t="n"/>
      <c r="I298" s="23" t="n"/>
      <c r="J298" s="23" t="n"/>
      <c r="K298" s="23" t="n"/>
      <c r="L298" s="23" t="n"/>
    </row>
    <row r="299">
      <c r="A299" s="23" t="n"/>
      <c r="B299" s="23" t="n"/>
      <c r="C299" s="23" t="n"/>
      <c r="D299" s="24" t="n"/>
      <c r="E299" s="23" t="n"/>
      <c r="F299" s="23" t="n"/>
      <c r="G299" s="25" t="n"/>
      <c r="H299" s="25" t="n"/>
      <c r="I299" s="23" t="n"/>
      <c r="J299" s="23" t="n"/>
      <c r="K299" s="23" t="n"/>
      <c r="L299" s="23" t="n"/>
    </row>
    <row r="300">
      <c r="A300" s="23" t="n"/>
      <c r="B300" s="23" t="n"/>
      <c r="C300" s="23" t="n"/>
      <c r="D300" s="24" t="n"/>
      <c r="E300" s="23" t="n"/>
      <c r="F300" s="23" t="n"/>
      <c r="G300" s="25" t="n"/>
      <c r="H300" s="25" t="n"/>
      <c r="I300" s="23" t="n"/>
      <c r="J300" s="23" t="n"/>
      <c r="K300" s="23" t="n"/>
      <c r="L300" s="23" t="n"/>
    </row>
    <row r="301">
      <c r="A301" s="23" t="n"/>
      <c r="B301" s="23" t="n"/>
      <c r="C301" s="23" t="n"/>
      <c r="D301" s="24" t="n"/>
      <c r="E301" s="23" t="n"/>
      <c r="F301" s="23" t="n"/>
      <c r="G301" s="25" t="n"/>
      <c r="H301" s="25" t="n"/>
      <c r="I301" s="23" t="n"/>
      <c r="J301" s="23" t="n"/>
      <c r="K301" s="23" t="n"/>
      <c r="L301" s="23" t="n"/>
    </row>
    <row r="302">
      <c r="A302" s="23" t="n"/>
      <c r="B302" s="23" t="n"/>
      <c r="C302" s="23" t="n"/>
      <c r="D302" s="24" t="n"/>
      <c r="E302" s="23" t="n"/>
      <c r="F302" s="23" t="n"/>
      <c r="G302" s="25" t="n"/>
      <c r="H302" s="25" t="n"/>
      <c r="I302" s="23" t="n"/>
      <c r="J302" s="23" t="n"/>
      <c r="K302" s="23" t="n"/>
      <c r="L302" s="23" t="n"/>
    </row>
    <row r="303">
      <c r="A303" s="23" t="n"/>
      <c r="B303" s="23" t="n"/>
      <c r="C303" s="23" t="n"/>
      <c r="D303" s="24" t="n"/>
      <c r="E303" s="23" t="n"/>
      <c r="F303" s="23" t="n"/>
      <c r="G303" s="25" t="n"/>
      <c r="H303" s="25" t="n"/>
      <c r="I303" s="23" t="n"/>
      <c r="J303" s="23" t="n"/>
      <c r="K303" s="23" t="n"/>
      <c r="L303" s="23" t="n"/>
    </row>
    <row r="304">
      <c r="A304" s="23" t="n"/>
      <c r="B304" s="23" t="n"/>
      <c r="C304" s="23" t="n"/>
      <c r="D304" s="24" t="n"/>
      <c r="E304" s="23" t="n"/>
      <c r="F304" s="23" t="n"/>
      <c r="G304" s="25" t="n"/>
      <c r="H304" s="25" t="n"/>
      <c r="I304" s="23" t="n"/>
      <c r="J304" s="23" t="n"/>
      <c r="K304" s="23" t="n"/>
      <c r="L304" s="23" t="n"/>
    </row>
    <row r="305">
      <c r="A305" s="23" t="n"/>
      <c r="B305" s="23" t="n"/>
      <c r="C305" s="23" t="n"/>
      <c r="D305" s="24" t="n"/>
      <c r="E305" s="23" t="n"/>
      <c r="F305" s="23" t="n"/>
      <c r="G305" s="25" t="n"/>
      <c r="H305" s="25" t="n"/>
      <c r="I305" s="23" t="n"/>
      <c r="J305" s="23" t="n"/>
      <c r="K305" s="23" t="n"/>
      <c r="L305" s="23" t="n"/>
    </row>
    <row r="306">
      <c r="A306" s="23" t="n"/>
      <c r="B306" s="23" t="n"/>
      <c r="C306" s="23" t="n"/>
      <c r="D306" s="24" t="n"/>
      <c r="E306" s="23" t="n"/>
      <c r="F306" s="23" t="n"/>
      <c r="G306" s="25" t="n"/>
      <c r="H306" s="25" t="n"/>
      <c r="I306" s="23" t="n"/>
      <c r="J306" s="23" t="n"/>
      <c r="K306" s="23" t="n"/>
      <c r="L306" s="23" t="n"/>
    </row>
    <row r="307">
      <c r="A307" s="23" t="n"/>
      <c r="B307" s="23" t="n"/>
      <c r="C307" s="23" t="n"/>
      <c r="D307" s="24" t="n"/>
      <c r="E307" s="23" t="n"/>
      <c r="F307" s="23" t="n"/>
      <c r="G307" s="25" t="n"/>
      <c r="H307" s="25" t="n"/>
      <c r="I307" s="23" t="n"/>
      <c r="J307" s="23" t="n"/>
      <c r="K307" s="23" t="n"/>
      <c r="L307" s="23" t="n"/>
    </row>
    <row r="308">
      <c r="A308" s="23" t="n"/>
      <c r="B308" s="23" t="n"/>
      <c r="C308" s="23" t="n"/>
      <c r="D308" s="24" t="n"/>
      <c r="E308" s="23" t="n"/>
      <c r="F308" s="23" t="n"/>
      <c r="G308" s="25" t="n"/>
      <c r="H308" s="25" t="n"/>
      <c r="I308" s="23" t="n"/>
      <c r="J308" s="23" t="n"/>
      <c r="K308" s="23" t="n"/>
      <c r="L308" s="23" t="n"/>
    </row>
    <row r="309">
      <c r="A309" s="23" t="n"/>
      <c r="B309" s="23" t="n"/>
      <c r="C309" s="23" t="n"/>
      <c r="D309" s="24" t="n"/>
      <c r="E309" s="23" t="n"/>
      <c r="F309" s="23" t="n"/>
      <c r="G309" s="25" t="n"/>
      <c r="H309" s="25" t="n"/>
      <c r="I309" s="23" t="n"/>
      <c r="J309" s="23" t="n"/>
      <c r="K309" s="23" t="n"/>
      <c r="L309" s="23" t="n"/>
    </row>
    <row r="310">
      <c r="A310" s="23" t="n"/>
      <c r="B310" s="23" t="n"/>
      <c r="C310" s="23" t="n"/>
      <c r="D310" s="24" t="n"/>
      <c r="E310" s="23" t="n"/>
      <c r="F310" s="23" t="n"/>
      <c r="G310" s="25" t="n"/>
      <c r="H310" s="25" t="n"/>
      <c r="I310" s="23" t="n"/>
      <c r="J310" s="23" t="n"/>
      <c r="K310" s="23" t="n"/>
      <c r="L310" s="23" t="n"/>
    </row>
    <row r="311">
      <c r="A311" s="23" t="n"/>
      <c r="B311" s="23" t="n"/>
      <c r="C311" s="23" t="n"/>
      <c r="D311" s="24" t="n"/>
      <c r="E311" s="23" t="n"/>
      <c r="F311" s="23" t="n"/>
      <c r="G311" s="25" t="n"/>
      <c r="H311" s="25" t="n"/>
      <c r="I311" s="23" t="n"/>
      <c r="J311" s="23" t="n"/>
      <c r="K311" s="23" t="n"/>
      <c r="L311" s="23" t="n"/>
    </row>
    <row r="312">
      <c r="A312" s="23" t="n"/>
      <c r="B312" s="23" t="n"/>
      <c r="C312" s="23" t="n"/>
      <c r="D312" s="24" t="n"/>
      <c r="E312" s="23" t="n"/>
      <c r="F312" s="23" t="n"/>
      <c r="G312" s="25" t="n"/>
      <c r="H312" s="25" t="n"/>
      <c r="I312" s="23" t="n"/>
      <c r="J312" s="23" t="n"/>
      <c r="K312" s="23" t="n"/>
      <c r="L312" s="23" t="n"/>
    </row>
    <row r="313">
      <c r="A313" s="23" t="n"/>
      <c r="B313" s="23" t="n"/>
      <c r="C313" s="23" t="n"/>
      <c r="D313" s="24" t="n"/>
      <c r="E313" s="23" t="n"/>
      <c r="F313" s="23" t="n"/>
      <c r="G313" s="25" t="n"/>
      <c r="H313" s="25" t="n"/>
      <c r="I313" s="23" t="n"/>
      <c r="J313" s="23" t="n"/>
      <c r="K313" s="23" t="n"/>
      <c r="L313" s="23" t="n"/>
    </row>
    <row r="314">
      <c r="A314" s="23" t="n"/>
      <c r="B314" s="23" t="n"/>
      <c r="C314" s="23" t="n"/>
      <c r="D314" s="24" t="n"/>
      <c r="E314" s="23" t="n"/>
      <c r="F314" s="23" t="n"/>
      <c r="G314" s="25" t="n"/>
      <c r="H314" s="25" t="n"/>
      <c r="I314" s="23" t="n"/>
      <c r="J314" s="23" t="n"/>
      <c r="K314" s="23" t="n"/>
      <c r="L314" s="23" t="n"/>
    </row>
    <row r="315">
      <c r="A315" s="23" t="n"/>
      <c r="B315" s="23" t="n"/>
      <c r="C315" s="23" t="n"/>
      <c r="D315" s="24" t="n"/>
      <c r="E315" s="23" t="n"/>
      <c r="F315" s="23" t="n"/>
      <c r="G315" s="25" t="n"/>
      <c r="H315" s="25" t="n"/>
      <c r="I315" s="23" t="n"/>
      <c r="J315" s="23" t="n"/>
      <c r="K315" s="23" t="n"/>
      <c r="L315" s="23" t="n"/>
    </row>
    <row r="316">
      <c r="A316" s="23" t="n"/>
      <c r="B316" s="23" t="n"/>
      <c r="C316" s="23" t="n"/>
      <c r="D316" s="24" t="n"/>
      <c r="E316" s="23" t="n"/>
      <c r="F316" s="23" t="n"/>
      <c r="G316" s="25" t="n"/>
      <c r="H316" s="25" t="n"/>
      <c r="I316" s="23" t="n"/>
      <c r="J316" s="23" t="n"/>
      <c r="K316" s="23" t="n"/>
      <c r="L316" s="23" t="n"/>
    </row>
    <row r="317">
      <c r="A317" s="23" t="n"/>
      <c r="B317" s="23" t="n"/>
      <c r="C317" s="23" t="n"/>
      <c r="D317" s="24" t="n"/>
      <c r="E317" s="23" t="n"/>
      <c r="F317" s="23" t="n"/>
      <c r="G317" s="25" t="n"/>
      <c r="H317" s="25" t="n"/>
      <c r="I317" s="23" t="n"/>
      <c r="J317" s="23" t="n"/>
      <c r="K317" s="23" t="n"/>
      <c r="L317" s="23" t="n"/>
    </row>
    <row r="318">
      <c r="A318" s="23" t="n"/>
      <c r="B318" s="23" t="n"/>
      <c r="C318" s="23" t="n"/>
      <c r="D318" s="24" t="n"/>
      <c r="E318" s="23" t="n"/>
      <c r="F318" s="23" t="n"/>
      <c r="G318" s="25" t="n"/>
      <c r="H318" s="25" t="n"/>
      <c r="I318" s="23" t="n"/>
      <c r="J318" s="23" t="n"/>
      <c r="K318" s="23" t="n"/>
      <c r="L318" s="23" t="n"/>
    </row>
    <row r="319">
      <c r="A319" s="23" t="n"/>
      <c r="B319" s="23" t="n"/>
      <c r="C319" s="23" t="n"/>
      <c r="D319" s="24" t="n"/>
      <c r="E319" s="23" t="n"/>
      <c r="F319" s="23" t="n"/>
      <c r="G319" s="25" t="n"/>
      <c r="H319" s="25" t="n"/>
      <c r="I319" s="23" t="n"/>
      <c r="J319" s="23" t="n"/>
      <c r="K319" s="23" t="n"/>
      <c r="L319" s="23" t="n"/>
    </row>
    <row r="320">
      <c r="A320" s="23" t="n"/>
      <c r="B320" s="23" t="n"/>
      <c r="C320" s="23" t="n"/>
      <c r="D320" s="24" t="n"/>
      <c r="E320" s="23" t="n"/>
      <c r="F320" s="23" t="n"/>
      <c r="G320" s="25" t="n"/>
      <c r="H320" s="25" t="n"/>
      <c r="I320" s="23" t="n"/>
      <c r="J320" s="23" t="n"/>
      <c r="K320" s="23" t="n"/>
      <c r="L320" s="23" t="n"/>
    </row>
    <row r="321">
      <c r="A321" s="23" t="n"/>
      <c r="B321" s="23" t="n"/>
      <c r="C321" s="23" t="n"/>
      <c r="D321" s="24" t="n"/>
      <c r="E321" s="23" t="n"/>
      <c r="F321" s="23" t="n"/>
      <c r="G321" s="25" t="n"/>
      <c r="H321" s="25" t="n"/>
      <c r="I321" s="23" t="n"/>
      <c r="J321" s="23" t="n"/>
      <c r="K321" s="23" t="n"/>
      <c r="L321" s="23" t="n"/>
    </row>
    <row r="322">
      <c r="A322" s="23" t="n"/>
      <c r="B322" s="23" t="n"/>
      <c r="C322" s="23" t="n"/>
      <c r="D322" s="24" t="n"/>
      <c r="E322" s="23" t="n"/>
      <c r="F322" s="23" t="n"/>
      <c r="G322" s="25" t="n"/>
      <c r="H322" s="25" t="n"/>
      <c r="I322" s="23" t="n"/>
      <c r="J322" s="23" t="n"/>
      <c r="K322" s="23" t="n"/>
      <c r="L322" s="23" t="n"/>
    </row>
    <row r="323">
      <c r="A323" s="23" t="n"/>
      <c r="B323" s="23" t="n"/>
      <c r="C323" s="23" t="n"/>
      <c r="D323" s="24" t="n"/>
      <c r="E323" s="23" t="n"/>
      <c r="F323" s="23" t="n"/>
      <c r="G323" s="25" t="n"/>
      <c r="H323" s="25" t="n"/>
      <c r="I323" s="23" t="n"/>
      <c r="J323" s="23" t="n"/>
      <c r="K323" s="23" t="n"/>
      <c r="L323" s="23" t="n"/>
    </row>
    <row r="324">
      <c r="A324" s="23" t="n"/>
      <c r="B324" s="23" t="n"/>
      <c r="C324" s="23" t="n"/>
      <c r="D324" s="24" t="n"/>
      <c r="E324" s="23" t="n"/>
      <c r="F324" s="23" t="n"/>
      <c r="G324" s="25" t="n"/>
      <c r="H324" s="25" t="n"/>
      <c r="I324" s="23" t="n"/>
      <c r="J324" s="23" t="n"/>
      <c r="K324" s="23" t="n"/>
      <c r="L324" s="23" t="n"/>
    </row>
    <row r="325">
      <c r="A325" s="23" t="n"/>
      <c r="B325" s="23" t="n"/>
      <c r="C325" s="23" t="n"/>
      <c r="D325" s="24" t="n"/>
      <c r="E325" s="23" t="n"/>
      <c r="F325" s="23" t="n"/>
      <c r="G325" s="25" t="n"/>
      <c r="H325" s="25" t="n"/>
      <c r="I325" s="23" t="n"/>
      <c r="J325" s="23" t="n"/>
      <c r="K325" s="23" t="n"/>
      <c r="L325" s="23" t="n"/>
    </row>
    <row r="326">
      <c r="A326" s="23" t="n"/>
      <c r="B326" s="23" t="n"/>
      <c r="C326" s="23" t="n"/>
      <c r="D326" s="24" t="n"/>
      <c r="E326" s="23" t="n"/>
      <c r="F326" s="23" t="n"/>
      <c r="G326" s="25" t="n"/>
      <c r="H326" s="25" t="n"/>
      <c r="I326" s="23" t="n"/>
      <c r="J326" s="23" t="n"/>
      <c r="K326" s="23" t="n"/>
      <c r="L326" s="23" t="n"/>
    </row>
    <row r="327">
      <c r="A327" s="23" t="n"/>
      <c r="B327" s="23" t="n"/>
      <c r="C327" s="23" t="n"/>
      <c r="D327" s="24" t="n"/>
      <c r="E327" s="23" t="n"/>
      <c r="F327" s="23" t="n"/>
      <c r="G327" s="25" t="n"/>
      <c r="H327" s="25" t="n"/>
      <c r="I327" s="23" t="n"/>
      <c r="J327" s="23" t="n"/>
      <c r="K327" s="23" t="n"/>
      <c r="L327" s="23" t="n"/>
    </row>
    <row r="328">
      <c r="A328" s="23" t="n"/>
      <c r="B328" s="23" t="n"/>
      <c r="C328" s="23" t="n"/>
      <c r="D328" s="24" t="n"/>
      <c r="E328" s="23" t="n"/>
      <c r="F328" s="23" t="n"/>
      <c r="G328" s="25" t="n"/>
      <c r="H328" s="25" t="n"/>
      <c r="I328" s="23" t="n"/>
      <c r="J328" s="23" t="n"/>
      <c r="K328" s="23" t="n"/>
      <c r="L328" s="23" t="n"/>
    </row>
    <row r="329">
      <c r="A329" s="23" t="n"/>
      <c r="B329" s="23" t="n"/>
      <c r="C329" s="23" t="n"/>
      <c r="D329" s="24" t="n"/>
      <c r="E329" s="23" t="n"/>
      <c r="F329" s="23" t="n"/>
      <c r="G329" s="25" t="n"/>
      <c r="H329" s="25" t="n"/>
      <c r="I329" s="23" t="n"/>
      <c r="J329" s="23" t="n"/>
      <c r="K329" s="23" t="n"/>
      <c r="L329" s="23" t="n"/>
    </row>
    <row r="330">
      <c r="A330" s="23" t="n"/>
      <c r="B330" s="23" t="n"/>
      <c r="C330" s="23" t="n"/>
      <c r="D330" s="24" t="n"/>
      <c r="E330" s="23" t="n"/>
      <c r="F330" s="23" t="n"/>
      <c r="G330" s="25" t="n"/>
      <c r="H330" s="25" t="n"/>
      <c r="I330" s="23" t="n"/>
      <c r="J330" s="23" t="n"/>
      <c r="K330" s="23" t="n"/>
      <c r="L330" s="23" t="n"/>
    </row>
    <row r="331">
      <c r="A331" s="23" t="n"/>
      <c r="B331" s="23" t="n"/>
      <c r="C331" s="23" t="n"/>
      <c r="D331" s="24" t="n"/>
      <c r="E331" s="23" t="n"/>
      <c r="F331" s="23" t="n"/>
      <c r="G331" s="25" t="n"/>
      <c r="H331" s="25" t="n"/>
      <c r="I331" s="23" t="n"/>
      <c r="J331" s="23" t="n"/>
      <c r="K331" s="23" t="n"/>
      <c r="L331" s="23" t="n"/>
    </row>
    <row r="332">
      <c r="A332" s="23" t="n"/>
      <c r="B332" s="23" t="n"/>
      <c r="C332" s="23" t="n"/>
      <c r="D332" s="24" t="n"/>
      <c r="E332" s="23" t="n"/>
      <c r="F332" s="23" t="n"/>
      <c r="G332" s="25" t="n"/>
      <c r="H332" s="25" t="n"/>
      <c r="I332" s="23" t="n"/>
      <c r="J332" s="23" t="n"/>
      <c r="K332" s="23" t="n"/>
      <c r="L332" s="23" t="n"/>
    </row>
    <row r="333">
      <c r="A333" s="23" t="n"/>
      <c r="B333" s="23" t="n"/>
      <c r="C333" s="23" t="n"/>
      <c r="D333" s="24" t="n"/>
      <c r="E333" s="23" t="n"/>
      <c r="F333" s="23" t="n"/>
      <c r="G333" s="25" t="n"/>
      <c r="H333" s="25" t="n"/>
      <c r="I333" s="23" t="n"/>
      <c r="J333" s="23" t="n"/>
      <c r="K333" s="23" t="n"/>
      <c r="L333" s="23" t="n"/>
    </row>
    <row r="334">
      <c r="A334" s="23" t="n"/>
      <c r="B334" s="23" t="n"/>
      <c r="C334" s="23" t="n"/>
      <c r="D334" s="24" t="n"/>
      <c r="E334" s="23" t="n"/>
      <c r="F334" s="23" t="n"/>
      <c r="G334" s="25" t="n"/>
      <c r="H334" s="25" t="n"/>
      <c r="I334" s="23" t="n"/>
      <c r="J334" s="23" t="n"/>
      <c r="K334" s="23" t="n"/>
      <c r="L334" s="23" t="n"/>
    </row>
    <row r="335">
      <c r="A335" s="23" t="n"/>
      <c r="B335" s="23" t="n"/>
      <c r="C335" s="23" t="n"/>
      <c r="D335" s="24" t="n"/>
      <c r="E335" s="23" t="n"/>
      <c r="F335" s="23" t="n"/>
      <c r="G335" s="25" t="n"/>
      <c r="H335" s="25" t="n"/>
      <c r="I335" s="23" t="n"/>
      <c r="J335" s="23" t="n"/>
      <c r="K335" s="23" t="n"/>
      <c r="L335" s="23" t="n"/>
    </row>
    <row r="336">
      <c r="A336" s="23" t="n"/>
      <c r="B336" s="23" t="n"/>
      <c r="C336" s="23" t="n"/>
      <c r="D336" s="24" t="n"/>
      <c r="E336" s="23" t="n"/>
      <c r="F336" s="23" t="n"/>
      <c r="G336" s="25" t="n"/>
      <c r="H336" s="25" t="n"/>
      <c r="I336" s="23" t="n"/>
      <c r="J336" s="23" t="n"/>
      <c r="K336" s="23" t="n"/>
      <c r="L336" s="23" t="n"/>
    </row>
    <row r="337">
      <c r="A337" s="23" t="n"/>
      <c r="B337" s="23" t="n"/>
      <c r="C337" s="23" t="n"/>
      <c r="D337" s="24" t="n"/>
      <c r="E337" s="23" t="n"/>
      <c r="F337" s="23" t="n"/>
      <c r="G337" s="25" t="n"/>
      <c r="H337" s="25" t="n"/>
      <c r="I337" s="23" t="n"/>
      <c r="J337" s="23" t="n"/>
      <c r="K337" s="23" t="n"/>
      <c r="L337" s="23" t="n"/>
    </row>
    <row r="338">
      <c r="A338" s="23" t="n"/>
      <c r="B338" s="23" t="n"/>
      <c r="C338" s="23" t="n"/>
      <c r="D338" s="24" t="n"/>
      <c r="E338" s="23" t="n"/>
      <c r="F338" s="23" t="n"/>
      <c r="G338" s="25" t="n"/>
      <c r="H338" s="25" t="n"/>
      <c r="I338" s="23" t="n"/>
      <c r="J338" s="23" t="n"/>
      <c r="K338" s="23" t="n"/>
      <c r="L338" s="23" t="n"/>
    </row>
    <row r="339">
      <c r="A339" s="23" t="n"/>
      <c r="B339" s="23" t="n"/>
      <c r="C339" s="23" t="n"/>
      <c r="D339" s="24" t="n"/>
      <c r="E339" s="23" t="n"/>
      <c r="F339" s="23" t="n"/>
      <c r="G339" s="25" t="n"/>
      <c r="H339" s="25" t="n"/>
      <c r="I339" s="23" t="n"/>
      <c r="J339" s="23" t="n"/>
      <c r="K339" s="23" t="n"/>
      <c r="L339" s="23" t="n"/>
    </row>
    <row r="340">
      <c r="A340" s="23" t="n"/>
      <c r="B340" s="23" t="n"/>
      <c r="C340" s="23" t="n"/>
      <c r="D340" s="24" t="n"/>
      <c r="E340" s="23" t="n"/>
      <c r="F340" s="23" t="n"/>
      <c r="G340" s="25" t="n"/>
      <c r="H340" s="25" t="n"/>
      <c r="I340" s="23" t="n"/>
      <c r="J340" s="23" t="n"/>
      <c r="K340" s="23" t="n"/>
      <c r="L340" s="23" t="n"/>
    </row>
    <row r="341">
      <c r="A341" s="23" t="n"/>
      <c r="B341" s="23" t="n"/>
      <c r="C341" s="23" t="n"/>
      <c r="D341" s="24" t="n"/>
      <c r="E341" s="23" t="n"/>
      <c r="F341" s="23" t="n"/>
      <c r="G341" s="25" t="n"/>
      <c r="H341" s="25" t="n"/>
      <c r="I341" s="23" t="n"/>
      <c r="J341" s="23" t="n"/>
      <c r="K341" s="23" t="n"/>
      <c r="L341" s="23" t="n"/>
    </row>
    <row r="342">
      <c r="A342" s="23" t="n"/>
      <c r="B342" s="23" t="n"/>
      <c r="C342" s="23" t="n"/>
      <c r="D342" s="24" t="n"/>
      <c r="E342" s="23" t="n"/>
      <c r="F342" s="23" t="n"/>
      <c r="G342" s="25" t="n"/>
      <c r="H342" s="25" t="n"/>
      <c r="I342" s="23" t="n"/>
      <c r="J342" s="23" t="n"/>
      <c r="K342" s="23" t="n"/>
      <c r="L342" s="23" t="n"/>
    </row>
    <row r="343">
      <c r="A343" s="23" t="n"/>
      <c r="B343" s="23" t="n"/>
      <c r="C343" s="23" t="n"/>
      <c r="D343" s="24" t="n"/>
      <c r="E343" s="23" t="n"/>
      <c r="F343" s="23" t="n"/>
      <c r="G343" s="25" t="n"/>
      <c r="H343" s="25" t="n"/>
      <c r="I343" s="23" t="n"/>
      <c r="J343" s="23" t="n"/>
      <c r="K343" s="23" t="n"/>
      <c r="L343" s="23" t="n"/>
    </row>
    <row r="344">
      <c r="A344" s="23" t="n"/>
      <c r="B344" s="23" t="n"/>
      <c r="C344" s="23" t="n"/>
      <c r="D344" s="24" t="n"/>
      <c r="E344" s="23" t="n"/>
      <c r="F344" s="23" t="n"/>
      <c r="G344" s="25" t="n"/>
      <c r="H344" s="25" t="n"/>
      <c r="I344" s="23" t="n"/>
      <c r="J344" s="23" t="n"/>
      <c r="K344" s="23" t="n"/>
      <c r="L344" s="23" t="n"/>
    </row>
    <row r="345">
      <c r="A345" s="23" t="n"/>
      <c r="B345" s="23" t="n"/>
      <c r="C345" s="23" t="n"/>
      <c r="D345" s="24" t="n"/>
      <c r="E345" s="23" t="n"/>
      <c r="F345" s="23" t="n"/>
      <c r="G345" s="25" t="n"/>
      <c r="H345" s="25" t="n"/>
      <c r="I345" s="23" t="n"/>
      <c r="J345" s="23" t="n"/>
      <c r="K345" s="23" t="n"/>
      <c r="L345" s="23" t="n"/>
    </row>
    <row r="346">
      <c r="A346" s="23" t="n"/>
      <c r="B346" s="23" t="n"/>
      <c r="C346" s="23" t="n"/>
      <c r="D346" s="24" t="n"/>
      <c r="E346" s="23" t="n"/>
      <c r="F346" s="23" t="n"/>
      <c r="G346" s="25" t="n"/>
      <c r="H346" s="25" t="n"/>
      <c r="I346" s="23" t="n"/>
      <c r="J346" s="23" t="n"/>
      <c r="K346" s="23" t="n"/>
      <c r="L346" s="23" t="n"/>
    </row>
    <row r="347">
      <c r="A347" s="23" t="n"/>
      <c r="B347" s="23" t="n"/>
      <c r="C347" s="23" t="n"/>
      <c r="D347" s="24" t="n"/>
      <c r="E347" s="23" t="n"/>
      <c r="F347" s="23" t="n"/>
      <c r="G347" s="25" t="n"/>
      <c r="H347" s="25" t="n"/>
      <c r="I347" s="23" t="n"/>
      <c r="J347" s="23" t="n"/>
      <c r="K347" s="23" t="n"/>
      <c r="L347" s="23" t="n"/>
    </row>
    <row r="348">
      <c r="A348" s="23" t="n"/>
      <c r="B348" s="23" t="n"/>
      <c r="C348" s="23" t="n"/>
      <c r="D348" s="24" t="n"/>
      <c r="E348" s="23" t="n"/>
      <c r="F348" s="23" t="n"/>
      <c r="G348" s="25" t="n"/>
      <c r="H348" s="25" t="n"/>
      <c r="I348" s="23" t="n"/>
      <c r="J348" s="23" t="n"/>
      <c r="K348" s="23" t="n"/>
      <c r="L348" s="23" t="n"/>
    </row>
    <row r="349">
      <c r="A349" s="23" t="n"/>
      <c r="B349" s="23" t="n"/>
      <c r="C349" s="23" t="n"/>
      <c r="D349" s="24" t="n"/>
      <c r="E349" s="23" t="n"/>
      <c r="F349" s="23" t="n"/>
      <c r="G349" s="25" t="n"/>
      <c r="H349" s="25" t="n"/>
      <c r="I349" s="23" t="n"/>
      <c r="J349" s="23" t="n"/>
      <c r="K349" s="23" t="n"/>
      <c r="L349" s="23" t="n"/>
    </row>
    <row r="350">
      <c r="A350" s="23" t="n"/>
      <c r="B350" s="23" t="n"/>
      <c r="C350" s="23" t="n"/>
      <c r="D350" s="24" t="n"/>
      <c r="E350" s="23" t="n"/>
      <c r="F350" s="23" t="n"/>
      <c r="G350" s="25" t="n"/>
      <c r="H350" s="25" t="n"/>
      <c r="I350" s="23" t="n"/>
      <c r="J350" s="23" t="n"/>
      <c r="K350" s="23" t="n"/>
      <c r="L350" s="23" t="n"/>
    </row>
    <row r="351">
      <c r="A351" s="23" t="n"/>
      <c r="B351" s="23" t="n"/>
      <c r="C351" s="23" t="n"/>
      <c r="D351" s="24" t="n"/>
      <c r="E351" s="23" t="n"/>
      <c r="F351" s="23" t="n"/>
      <c r="G351" s="25" t="n"/>
      <c r="H351" s="25" t="n"/>
      <c r="I351" s="23" t="n"/>
      <c r="J351" s="23" t="n"/>
      <c r="K351" s="23" t="n"/>
      <c r="L351" s="23" t="n"/>
    </row>
    <row r="352">
      <c r="A352" s="23" t="n"/>
      <c r="B352" s="23" t="n"/>
      <c r="C352" s="23" t="n"/>
      <c r="D352" s="24" t="n"/>
      <c r="E352" s="23" t="n"/>
      <c r="F352" s="23" t="n"/>
      <c r="G352" s="25" t="n"/>
      <c r="H352" s="25" t="n"/>
      <c r="I352" s="23" t="n"/>
      <c r="J352" s="23" t="n"/>
      <c r="K352" s="23" t="n"/>
      <c r="L352" s="23" t="n"/>
    </row>
    <row r="353">
      <c r="A353" s="23" t="n"/>
      <c r="B353" s="23" t="n"/>
      <c r="C353" s="23" t="n"/>
      <c r="D353" s="24" t="n"/>
      <c r="E353" s="23" t="n"/>
      <c r="F353" s="23" t="n"/>
      <c r="G353" s="25" t="n"/>
      <c r="H353" s="25" t="n"/>
      <c r="I353" s="23" t="n"/>
      <c r="J353" s="23" t="n"/>
      <c r="K353" s="23" t="n"/>
      <c r="L353" s="23" t="n"/>
    </row>
    <row r="354">
      <c r="A354" s="23" t="n"/>
      <c r="B354" s="23" t="n"/>
      <c r="C354" s="23" t="n"/>
      <c r="D354" s="24" t="n"/>
      <c r="E354" s="23" t="n"/>
      <c r="F354" s="23" t="n"/>
      <c r="G354" s="25" t="n"/>
      <c r="H354" s="25" t="n"/>
      <c r="I354" s="23" t="n"/>
      <c r="J354" s="23" t="n"/>
      <c r="K354" s="23" t="n"/>
      <c r="L354" s="23" t="n"/>
    </row>
    <row r="355">
      <c r="A355" s="23" t="n"/>
      <c r="B355" s="23" t="n"/>
      <c r="C355" s="23" t="n"/>
      <c r="D355" s="24" t="n"/>
      <c r="E355" s="23" t="n"/>
      <c r="F355" s="23" t="n"/>
      <c r="G355" s="25" t="n"/>
      <c r="H355" s="25" t="n"/>
      <c r="I355" s="23" t="n"/>
      <c r="J355" s="23" t="n"/>
      <c r="K355" s="23" t="n"/>
      <c r="L355" s="23" t="n"/>
    </row>
    <row r="356">
      <c r="A356" s="23" t="n"/>
      <c r="B356" s="23" t="n"/>
      <c r="C356" s="23" t="n"/>
      <c r="D356" s="24" t="n"/>
      <c r="E356" s="23" t="n"/>
      <c r="F356" s="23" t="n"/>
      <c r="G356" s="25" t="n"/>
      <c r="H356" s="25" t="n"/>
      <c r="I356" s="23" t="n"/>
      <c r="J356" s="23" t="n"/>
      <c r="K356" s="23" t="n"/>
      <c r="L356" s="23" t="n"/>
    </row>
    <row r="357">
      <c r="A357" s="23" t="n"/>
      <c r="B357" s="23" t="n"/>
      <c r="C357" s="23" t="n"/>
      <c r="D357" s="24" t="n"/>
      <c r="E357" s="23" t="n"/>
      <c r="F357" s="23" t="n"/>
      <c r="G357" s="25" t="n"/>
      <c r="H357" s="25" t="n"/>
      <c r="I357" s="23" t="n"/>
      <c r="J357" s="23" t="n"/>
      <c r="K357" s="23" t="n"/>
      <c r="L357" s="23" t="n"/>
    </row>
    <row r="358">
      <c r="A358" s="23" t="n"/>
      <c r="B358" s="23" t="n"/>
      <c r="C358" s="23" t="n"/>
      <c r="D358" s="24" t="n"/>
      <c r="E358" s="23" t="n"/>
      <c r="F358" s="23" t="n"/>
      <c r="G358" s="25" t="n"/>
      <c r="H358" s="25" t="n"/>
      <c r="I358" s="23" t="n"/>
      <c r="J358" s="23" t="n"/>
      <c r="K358" s="23" t="n"/>
      <c r="L358" s="23" t="n"/>
    </row>
    <row r="359">
      <c r="A359" s="23" t="n"/>
      <c r="B359" s="23" t="n"/>
      <c r="C359" s="23" t="n"/>
      <c r="D359" s="24" t="n"/>
      <c r="E359" s="23" t="n"/>
      <c r="F359" s="23" t="n"/>
      <c r="G359" s="25" t="n"/>
      <c r="H359" s="25" t="n"/>
      <c r="I359" s="23" t="n"/>
      <c r="J359" s="23" t="n"/>
      <c r="K359" s="23" t="n"/>
      <c r="L359" s="23" t="n"/>
    </row>
    <row r="360">
      <c r="A360" s="23" t="n"/>
      <c r="B360" s="23" t="n"/>
      <c r="C360" s="23" t="n"/>
      <c r="D360" s="24" t="n"/>
      <c r="E360" s="23" t="n"/>
      <c r="F360" s="23" t="n"/>
      <c r="G360" s="25" t="n"/>
      <c r="H360" s="25" t="n"/>
      <c r="I360" s="23" t="n"/>
      <c r="J360" s="23" t="n"/>
      <c r="K360" s="23" t="n"/>
      <c r="L360" s="23" t="n"/>
    </row>
    <row r="361">
      <c r="A361" s="23" t="n"/>
      <c r="B361" s="23" t="n"/>
      <c r="C361" s="23" t="n"/>
      <c r="D361" s="24" t="n"/>
      <c r="E361" s="23" t="n"/>
      <c r="F361" s="23" t="n"/>
      <c r="G361" s="25" t="n"/>
      <c r="H361" s="25" t="n"/>
      <c r="I361" s="23" t="n"/>
      <c r="J361" s="23" t="n"/>
      <c r="K361" s="23" t="n"/>
      <c r="L361" s="23" t="n"/>
    </row>
    <row r="362">
      <c r="A362" s="23" t="n"/>
      <c r="B362" s="23" t="n"/>
      <c r="C362" s="23" t="n"/>
      <c r="D362" s="24" t="n"/>
      <c r="E362" s="23" t="n"/>
      <c r="F362" s="23" t="n"/>
      <c r="G362" s="25" t="n"/>
      <c r="H362" s="25" t="n"/>
      <c r="I362" s="23" t="n"/>
      <c r="J362" s="23" t="n"/>
      <c r="K362" s="23" t="n"/>
      <c r="L362" s="23" t="n"/>
    </row>
    <row r="363">
      <c r="A363" s="23" t="n"/>
      <c r="B363" s="23" t="n"/>
      <c r="C363" s="23" t="n"/>
      <c r="D363" s="24" t="n"/>
      <c r="E363" s="23" t="n"/>
      <c r="F363" s="23" t="n"/>
      <c r="G363" s="25" t="n"/>
      <c r="H363" s="25" t="n"/>
      <c r="I363" s="23" t="n"/>
      <c r="J363" s="23" t="n"/>
      <c r="K363" s="23" t="n"/>
      <c r="L363" s="23" t="n"/>
    </row>
    <row r="364">
      <c r="A364" s="23" t="n"/>
      <c r="B364" s="23" t="n"/>
      <c r="C364" s="23" t="n"/>
      <c r="D364" s="24" t="n"/>
      <c r="E364" s="23" t="n"/>
      <c r="F364" s="23" t="n"/>
      <c r="G364" s="25" t="n"/>
      <c r="H364" s="25" t="n"/>
      <c r="I364" s="23" t="n"/>
      <c r="J364" s="23" t="n"/>
      <c r="K364" s="23" t="n"/>
      <c r="L364" s="23" t="n"/>
    </row>
    <row r="365">
      <c r="A365" s="23" t="n"/>
      <c r="B365" s="23" t="n"/>
      <c r="C365" s="23" t="n"/>
      <c r="D365" s="24" t="n"/>
      <c r="E365" s="23" t="n"/>
      <c r="F365" s="23" t="n"/>
      <c r="G365" s="25" t="n"/>
      <c r="H365" s="25" t="n"/>
      <c r="I365" s="23" t="n"/>
      <c r="J365" s="23" t="n"/>
      <c r="K365" s="23" t="n"/>
      <c r="L365" s="23" t="n"/>
    </row>
    <row r="366">
      <c r="A366" s="23" t="n"/>
      <c r="B366" s="23" t="n"/>
      <c r="C366" s="23" t="n"/>
      <c r="D366" s="24" t="n"/>
      <c r="E366" s="23" t="n"/>
      <c r="F366" s="23" t="n"/>
      <c r="G366" s="25" t="n"/>
      <c r="H366" s="25" t="n"/>
      <c r="I366" s="23" t="n"/>
      <c r="J366" s="23" t="n"/>
      <c r="K366" s="23" t="n"/>
      <c r="L366" s="23" t="n"/>
    </row>
    <row r="367">
      <c r="A367" s="23" t="n"/>
      <c r="B367" s="23" t="n"/>
      <c r="C367" s="23" t="n"/>
      <c r="D367" s="24" t="n"/>
      <c r="E367" s="23" t="n"/>
      <c r="F367" s="23" t="n"/>
      <c r="G367" s="25" t="n"/>
      <c r="H367" s="25" t="n"/>
      <c r="I367" s="23" t="n"/>
      <c r="J367" s="23" t="n"/>
      <c r="K367" s="23" t="n"/>
      <c r="L367" s="23" t="n"/>
    </row>
    <row r="368">
      <c r="A368" s="23" t="n"/>
      <c r="B368" s="23" t="n"/>
      <c r="C368" s="23" t="n"/>
      <c r="D368" s="24" t="n"/>
      <c r="E368" s="23" t="n"/>
      <c r="F368" s="23" t="n"/>
      <c r="G368" s="25" t="n"/>
      <c r="H368" s="25" t="n"/>
      <c r="I368" s="23" t="n"/>
      <c r="J368" s="23" t="n"/>
      <c r="K368" s="23" t="n"/>
      <c r="L368" s="23" t="n"/>
    </row>
    <row r="369">
      <c r="A369" s="23" t="n"/>
      <c r="B369" s="23" t="n"/>
      <c r="C369" s="23" t="n"/>
      <c r="D369" s="24" t="n"/>
      <c r="E369" s="23" t="n"/>
      <c r="F369" s="23" t="n"/>
      <c r="G369" s="25" t="n"/>
      <c r="H369" s="25" t="n"/>
      <c r="I369" s="23" t="n"/>
      <c r="J369" s="23" t="n"/>
      <c r="K369" s="23" t="n"/>
      <c r="L369" s="23" t="n"/>
    </row>
    <row r="370">
      <c r="A370" s="23" t="n"/>
      <c r="B370" s="23" t="n"/>
      <c r="C370" s="23" t="n"/>
      <c r="D370" s="24" t="n"/>
      <c r="E370" s="23" t="n"/>
      <c r="F370" s="23" t="n"/>
      <c r="G370" s="25" t="n"/>
      <c r="H370" s="25" t="n"/>
      <c r="I370" s="23" t="n"/>
      <c r="J370" s="23" t="n"/>
      <c r="K370" s="23" t="n"/>
      <c r="L370" s="23" t="n"/>
    </row>
    <row r="371">
      <c r="A371" s="23" t="n"/>
      <c r="B371" s="23" t="n"/>
      <c r="C371" s="23" t="n"/>
      <c r="D371" s="24" t="n"/>
      <c r="E371" s="23" t="n"/>
      <c r="F371" s="23" t="n"/>
      <c r="G371" s="25" t="n"/>
      <c r="H371" s="25" t="n"/>
      <c r="I371" s="23" t="n"/>
      <c r="J371" s="23" t="n"/>
      <c r="K371" s="23" t="n"/>
      <c r="L371" s="23" t="n"/>
    </row>
    <row r="372">
      <c r="A372" s="23" t="n"/>
      <c r="B372" s="23" t="n"/>
      <c r="C372" s="23" t="n"/>
      <c r="D372" s="24" t="n"/>
      <c r="E372" s="23" t="n"/>
      <c r="F372" s="23" t="n"/>
      <c r="G372" s="25" t="n"/>
      <c r="H372" s="25" t="n"/>
      <c r="I372" s="23" t="n"/>
      <c r="J372" s="23" t="n"/>
      <c r="K372" s="23" t="n"/>
      <c r="L372" s="23" t="n"/>
    </row>
    <row r="373">
      <c r="A373" s="23" t="n"/>
      <c r="B373" s="23" t="n"/>
      <c r="C373" s="23" t="n"/>
      <c r="D373" s="24" t="n"/>
      <c r="E373" s="23" t="n"/>
      <c r="F373" s="23" t="n"/>
      <c r="G373" s="25" t="n"/>
      <c r="H373" s="25" t="n"/>
      <c r="I373" s="23" t="n"/>
      <c r="J373" s="23" t="n"/>
      <c r="K373" s="23" t="n"/>
      <c r="L373" s="23" t="n"/>
    </row>
    <row r="374">
      <c r="A374" s="23" t="n"/>
      <c r="B374" s="23" t="n"/>
      <c r="C374" s="23" t="n"/>
      <c r="D374" s="24" t="n"/>
      <c r="E374" s="23" t="n"/>
      <c r="F374" s="23" t="n"/>
      <c r="G374" s="25" t="n"/>
      <c r="H374" s="25" t="n"/>
      <c r="I374" s="23" t="n"/>
      <c r="J374" s="23" t="n"/>
      <c r="K374" s="23" t="n"/>
      <c r="L374" s="23" t="n"/>
    </row>
    <row r="375">
      <c r="A375" s="23" t="n"/>
      <c r="B375" s="23" t="n"/>
      <c r="C375" s="23" t="n"/>
      <c r="D375" s="24" t="n"/>
      <c r="E375" s="23" t="n"/>
      <c r="F375" s="23" t="n"/>
      <c r="G375" s="25" t="n"/>
      <c r="H375" s="25" t="n"/>
      <c r="I375" s="23" t="n"/>
      <c r="J375" s="23" t="n"/>
      <c r="K375" s="23" t="n"/>
      <c r="L375" s="23" t="n"/>
    </row>
    <row r="376">
      <c r="A376" s="23" t="n"/>
      <c r="B376" s="23" t="n"/>
      <c r="C376" s="23" t="n"/>
      <c r="D376" s="24" t="n"/>
      <c r="E376" s="23" t="n"/>
      <c r="F376" s="23" t="n"/>
      <c r="G376" s="25" t="n"/>
      <c r="H376" s="25" t="n"/>
      <c r="I376" s="23" t="n"/>
      <c r="J376" s="23" t="n"/>
      <c r="K376" s="23" t="n"/>
      <c r="L376" s="23" t="n"/>
    </row>
    <row r="377">
      <c r="A377" s="23" t="n"/>
      <c r="B377" s="23" t="n"/>
      <c r="C377" s="23" t="n"/>
      <c r="D377" s="24" t="n"/>
      <c r="E377" s="23" t="n"/>
      <c r="F377" s="23" t="n"/>
      <c r="G377" s="25" t="n"/>
      <c r="H377" s="25" t="n"/>
      <c r="I377" s="23" t="n"/>
      <c r="J377" s="23" t="n"/>
      <c r="K377" s="23" t="n"/>
      <c r="L377" s="23" t="n"/>
    </row>
    <row r="378">
      <c r="A378" s="23" t="n"/>
      <c r="B378" s="23" t="n"/>
      <c r="C378" s="23" t="n"/>
      <c r="D378" s="24" t="n"/>
      <c r="E378" s="23" t="n"/>
      <c r="F378" s="23" t="n"/>
      <c r="G378" s="25" t="n"/>
      <c r="H378" s="25" t="n"/>
      <c r="I378" s="23" t="n"/>
      <c r="J378" s="23" t="n"/>
      <c r="K378" s="23" t="n"/>
      <c r="L378" s="23" t="n"/>
    </row>
    <row r="379">
      <c r="A379" s="23" t="n"/>
      <c r="B379" s="23" t="n"/>
      <c r="C379" s="23" t="n"/>
      <c r="D379" s="24" t="n"/>
      <c r="E379" s="23" t="n"/>
      <c r="F379" s="23" t="n"/>
      <c r="G379" s="25" t="n"/>
      <c r="H379" s="25" t="n"/>
      <c r="I379" s="23" t="n"/>
      <c r="J379" s="23" t="n"/>
      <c r="K379" s="23" t="n"/>
      <c r="L379" s="23" t="n"/>
    </row>
    <row r="380">
      <c r="A380" s="23" t="n"/>
      <c r="B380" s="23" t="n"/>
      <c r="C380" s="23" t="n"/>
      <c r="D380" s="24" t="n"/>
      <c r="E380" s="23" t="n"/>
      <c r="F380" s="23" t="n"/>
      <c r="G380" s="25" t="n"/>
      <c r="H380" s="25" t="n"/>
      <c r="I380" s="23" t="n"/>
      <c r="J380" s="23" t="n"/>
      <c r="K380" s="23" t="n"/>
      <c r="L380" s="23" t="n"/>
    </row>
    <row r="381">
      <c r="A381" s="23" t="n"/>
      <c r="B381" s="23" t="n"/>
      <c r="C381" s="23" t="n"/>
      <c r="D381" s="24" t="n"/>
      <c r="E381" s="23" t="n"/>
      <c r="F381" s="23" t="n"/>
      <c r="G381" s="25" t="n"/>
      <c r="H381" s="25" t="n"/>
      <c r="I381" s="23" t="n"/>
      <c r="J381" s="23" t="n"/>
      <c r="K381" s="23" t="n"/>
      <c r="L381" s="23" t="n"/>
    </row>
    <row r="382">
      <c r="A382" s="23" t="n"/>
      <c r="B382" s="23" t="n"/>
      <c r="C382" s="23" t="n"/>
      <c r="D382" s="24" t="n"/>
      <c r="E382" s="23" t="n"/>
      <c r="F382" s="23" t="n"/>
      <c r="G382" s="25" t="n"/>
      <c r="H382" s="25" t="n"/>
      <c r="I382" s="23" t="n"/>
      <c r="J382" s="23" t="n"/>
      <c r="K382" s="23" t="n"/>
      <c r="L382" s="23" t="n"/>
    </row>
    <row r="383">
      <c r="A383" s="23" t="n"/>
      <c r="B383" s="23" t="n"/>
      <c r="C383" s="23" t="n"/>
      <c r="D383" s="24" t="n"/>
      <c r="E383" s="23" t="n"/>
      <c r="F383" s="23" t="n"/>
      <c r="G383" s="25" t="n"/>
      <c r="H383" s="25" t="n"/>
      <c r="I383" s="23" t="n"/>
      <c r="J383" s="23" t="n"/>
      <c r="K383" s="23" t="n"/>
      <c r="L383" s="23" t="n"/>
    </row>
    <row r="384">
      <c r="A384" s="23" t="n"/>
      <c r="B384" s="23" t="n"/>
      <c r="C384" s="23" t="n"/>
      <c r="D384" s="24" t="n"/>
      <c r="E384" s="23" t="n"/>
      <c r="F384" s="23" t="n"/>
      <c r="G384" s="25" t="n"/>
      <c r="H384" s="25" t="n"/>
      <c r="I384" s="23" t="n"/>
      <c r="J384" s="23" t="n"/>
      <c r="K384" s="23" t="n"/>
      <c r="L384" s="23" t="n"/>
    </row>
    <row r="385">
      <c r="A385" s="23" t="n"/>
      <c r="B385" s="23" t="n"/>
      <c r="C385" s="23" t="n"/>
      <c r="D385" s="24" t="n"/>
      <c r="E385" s="23" t="n"/>
      <c r="F385" s="23" t="n"/>
      <c r="G385" s="25" t="n"/>
      <c r="H385" s="25" t="n"/>
      <c r="I385" s="23" t="n"/>
      <c r="J385" s="23" t="n"/>
      <c r="K385" s="23" t="n"/>
      <c r="L385" s="23" t="n"/>
    </row>
    <row r="386">
      <c r="A386" s="23" t="n"/>
      <c r="B386" s="23" t="n"/>
      <c r="C386" s="23" t="n"/>
      <c r="D386" s="24" t="n"/>
      <c r="E386" s="23" t="n"/>
      <c r="F386" s="23" t="n"/>
      <c r="G386" s="25" t="n"/>
      <c r="H386" s="25" t="n"/>
      <c r="I386" s="23" t="n"/>
      <c r="J386" s="23" t="n"/>
      <c r="K386" s="23" t="n"/>
      <c r="L386" s="23" t="n"/>
    </row>
    <row r="387">
      <c r="A387" s="23" t="n"/>
      <c r="B387" s="23" t="n"/>
      <c r="C387" s="23" t="n"/>
      <c r="D387" s="24" t="n"/>
      <c r="E387" s="23" t="n"/>
      <c r="F387" s="23" t="n"/>
      <c r="G387" s="25" t="n"/>
      <c r="H387" s="25" t="n"/>
      <c r="I387" s="23" t="n"/>
      <c r="J387" s="23" t="n"/>
      <c r="K387" s="23" t="n"/>
      <c r="L387" s="23" t="n"/>
    </row>
    <row r="388">
      <c r="A388" s="23" t="n"/>
      <c r="B388" s="23" t="n"/>
      <c r="C388" s="23" t="n"/>
      <c r="D388" s="24" t="n"/>
      <c r="E388" s="23" t="n"/>
      <c r="F388" s="23" t="n"/>
      <c r="G388" s="25" t="n"/>
      <c r="H388" s="25" t="n"/>
      <c r="I388" s="23" t="n"/>
      <c r="J388" s="23" t="n"/>
      <c r="K388" s="23" t="n"/>
      <c r="L388" s="23" t="n"/>
    </row>
    <row r="389">
      <c r="A389" s="23" t="n"/>
      <c r="B389" s="23" t="n"/>
      <c r="C389" s="23" t="n"/>
      <c r="D389" s="24" t="n"/>
      <c r="E389" s="23" t="n"/>
      <c r="F389" s="23" t="n"/>
      <c r="G389" s="25" t="n"/>
      <c r="H389" s="25" t="n"/>
      <c r="I389" s="23" t="n"/>
      <c r="J389" s="23" t="n"/>
      <c r="K389" s="23" t="n"/>
      <c r="L389" s="23" t="n"/>
    </row>
    <row r="390">
      <c r="A390" s="23" t="n"/>
      <c r="B390" s="23" t="n"/>
      <c r="C390" s="23" t="n"/>
      <c r="D390" s="24" t="n"/>
      <c r="E390" s="23" t="n"/>
      <c r="F390" s="23" t="n"/>
      <c r="G390" s="25" t="n"/>
      <c r="H390" s="25" t="n"/>
      <c r="I390" s="23" t="n"/>
      <c r="J390" s="23" t="n"/>
      <c r="K390" s="23" t="n"/>
      <c r="L390" s="23" t="n"/>
    </row>
    <row r="391">
      <c r="A391" s="23" t="n"/>
      <c r="B391" s="23" t="n"/>
      <c r="C391" s="23" t="n"/>
      <c r="D391" s="24" t="n"/>
      <c r="E391" s="23" t="n"/>
      <c r="F391" s="23" t="n"/>
      <c r="G391" s="25" t="n"/>
      <c r="H391" s="25" t="n"/>
      <c r="I391" s="23" t="n"/>
      <c r="J391" s="23" t="n"/>
      <c r="K391" s="23" t="n"/>
      <c r="L391" s="23" t="n"/>
    </row>
    <row r="392">
      <c r="A392" s="23" t="n"/>
      <c r="B392" s="23" t="n"/>
      <c r="C392" s="23" t="n"/>
      <c r="D392" s="24" t="n"/>
      <c r="E392" s="23" t="n"/>
      <c r="F392" s="23" t="n"/>
      <c r="G392" s="25" t="n"/>
      <c r="H392" s="25" t="n"/>
      <c r="I392" s="23" t="n"/>
      <c r="J392" s="23" t="n"/>
      <c r="K392" s="23" t="n"/>
      <c r="L392" s="23" t="n"/>
    </row>
    <row r="393">
      <c r="A393" s="23" t="n"/>
      <c r="B393" s="23" t="n"/>
      <c r="C393" s="23" t="n"/>
      <c r="D393" s="24" t="n"/>
      <c r="E393" s="23" t="n"/>
      <c r="F393" s="23" t="n"/>
      <c r="G393" s="25" t="n"/>
      <c r="H393" s="25" t="n"/>
      <c r="I393" s="23" t="n"/>
      <c r="J393" s="23" t="n"/>
      <c r="K393" s="23" t="n"/>
      <c r="L393" s="23" t="n"/>
    </row>
    <row r="394">
      <c r="A394" s="23" t="n"/>
      <c r="B394" s="23" t="n"/>
      <c r="C394" s="23" t="n"/>
      <c r="D394" s="24" t="n"/>
      <c r="E394" s="23" t="n"/>
      <c r="F394" s="23" t="n"/>
      <c r="G394" s="25" t="n"/>
      <c r="H394" s="25" t="n"/>
      <c r="I394" s="23" t="n"/>
      <c r="J394" s="23" t="n"/>
      <c r="K394" s="23" t="n"/>
      <c r="L394" s="23" t="n"/>
    </row>
    <row r="395">
      <c r="A395" s="23" t="n"/>
      <c r="B395" s="23" t="n"/>
      <c r="C395" s="23" t="n"/>
      <c r="D395" s="24" t="n"/>
      <c r="E395" s="23" t="n"/>
      <c r="F395" s="23" t="n"/>
      <c r="G395" s="25" t="n"/>
      <c r="H395" s="25" t="n"/>
      <c r="I395" s="23" t="n"/>
      <c r="J395" s="23" t="n"/>
      <c r="K395" s="23" t="n"/>
      <c r="L395" s="23" t="n"/>
    </row>
    <row r="396">
      <c r="A396" s="23" t="n"/>
      <c r="B396" s="23" t="n"/>
      <c r="C396" s="23" t="n"/>
      <c r="D396" s="24" t="n"/>
      <c r="E396" s="23" t="n"/>
      <c r="F396" s="23" t="n"/>
      <c r="G396" s="25" t="n"/>
      <c r="H396" s="25" t="n"/>
      <c r="I396" s="23" t="n"/>
      <c r="J396" s="23" t="n"/>
      <c r="K396" s="23" t="n"/>
      <c r="L396" s="23" t="n"/>
    </row>
    <row r="397">
      <c r="A397" s="23" t="n"/>
      <c r="B397" s="23" t="n"/>
      <c r="C397" s="23" t="n"/>
      <c r="D397" s="24" t="n"/>
      <c r="E397" s="23" t="n"/>
      <c r="F397" s="23" t="n"/>
      <c r="G397" s="25" t="n"/>
      <c r="H397" s="25" t="n"/>
      <c r="I397" s="23" t="n"/>
      <c r="J397" s="23" t="n"/>
      <c r="K397" s="23" t="n"/>
      <c r="L397" s="23" t="n"/>
    </row>
    <row r="398">
      <c r="A398" s="23" t="n"/>
      <c r="B398" s="23" t="n"/>
      <c r="C398" s="23" t="n"/>
      <c r="D398" s="24" t="n"/>
      <c r="E398" s="23" t="n"/>
      <c r="F398" s="23" t="n"/>
      <c r="G398" s="25" t="n"/>
      <c r="H398" s="25" t="n"/>
      <c r="I398" s="23" t="n"/>
      <c r="J398" s="23" t="n"/>
      <c r="K398" s="23" t="n"/>
      <c r="L398" s="23" t="n"/>
    </row>
    <row r="399">
      <c r="A399" s="23" t="n"/>
      <c r="B399" s="23" t="n"/>
      <c r="C399" s="23" t="n"/>
      <c r="D399" s="24" t="n"/>
      <c r="E399" s="23" t="n"/>
      <c r="F399" s="23" t="n"/>
      <c r="G399" s="25" t="n"/>
      <c r="H399" s="25" t="n"/>
      <c r="I399" s="23" t="n"/>
      <c r="J399" s="23" t="n"/>
      <c r="K399" s="23" t="n"/>
      <c r="L399" s="23" t="n"/>
    </row>
    <row r="400">
      <c r="A400" s="23" t="n"/>
      <c r="B400" s="23" t="n"/>
      <c r="C400" s="23" t="n"/>
      <c r="D400" s="24" t="n"/>
      <c r="E400" s="23" t="n"/>
      <c r="F400" s="23" t="n"/>
      <c r="G400" s="25" t="n"/>
      <c r="H400" s="25" t="n"/>
      <c r="I400" s="23" t="n"/>
      <c r="J400" s="23" t="n"/>
      <c r="K400" s="23" t="n"/>
      <c r="L400" s="23" t="n"/>
    </row>
    <row r="401">
      <c r="A401" s="23" t="n"/>
      <c r="B401" s="23" t="n"/>
      <c r="C401" s="23" t="n"/>
      <c r="D401" s="24" t="n"/>
      <c r="E401" s="23" t="n"/>
      <c r="F401" s="23" t="n"/>
      <c r="G401" s="25" t="n"/>
      <c r="H401" s="25" t="n"/>
      <c r="I401" s="23" t="n"/>
      <c r="J401" s="23" t="n"/>
      <c r="K401" s="23" t="n"/>
      <c r="L401" s="23" t="n"/>
    </row>
    <row r="402">
      <c r="A402" s="23" t="n"/>
      <c r="B402" s="23" t="n"/>
      <c r="C402" s="23" t="n"/>
      <c r="D402" s="24" t="n"/>
      <c r="E402" s="23" t="n"/>
      <c r="F402" s="23" t="n"/>
      <c r="G402" s="25" t="n"/>
      <c r="H402" s="25" t="n"/>
      <c r="I402" s="23" t="n"/>
      <c r="J402" s="23" t="n"/>
      <c r="K402" s="23" t="n"/>
      <c r="L402" s="23" t="n"/>
    </row>
    <row r="403">
      <c r="A403" s="23" t="n"/>
      <c r="B403" s="23" t="n"/>
      <c r="C403" s="23" t="n"/>
      <c r="D403" s="24" t="n"/>
      <c r="E403" s="23" t="n"/>
      <c r="F403" s="23" t="n"/>
      <c r="G403" s="25" t="n"/>
      <c r="H403" s="25" t="n"/>
      <c r="I403" s="23" t="n"/>
      <c r="J403" s="23" t="n"/>
      <c r="K403" s="23" t="n"/>
      <c r="L403" s="23" t="n"/>
    </row>
    <row r="404">
      <c r="A404" s="23" t="n"/>
      <c r="B404" s="23" t="n"/>
      <c r="C404" s="23" t="n"/>
      <c r="D404" s="24" t="n"/>
      <c r="E404" s="23" t="n"/>
      <c r="F404" s="23" t="n"/>
      <c r="G404" s="25" t="n"/>
      <c r="H404" s="25" t="n"/>
      <c r="I404" s="23" t="n"/>
      <c r="J404" s="23" t="n"/>
      <c r="K404" s="23" t="n"/>
      <c r="L404" s="23" t="n"/>
    </row>
  </sheetData>
  <dataValidations count="2">
    <dataValidation sqref="K5:K404" showDropDown="0" showInputMessage="0" showErrorMessage="0" allowBlank="1" type="list">
      <formula1>"OK,ROJO,VERDE"</formula1>
    </dataValidation>
    <dataValidation sqref="L5:L404" showDropDown="0" showInputMessage="0" showErrorMessage="0" allowBlank="1" type="list">
      <formula1>"SI,FALTA,NO DOCUMENTABLE"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cols>
    <col width="14" customWidth="1" min="1" max="1"/>
    <col width="8" customWidth="1" min="2" max="2"/>
    <col width="15" customWidth="1" min="3" max="3"/>
    <col width="15" customWidth="1" min="4" max="4"/>
    <col width="17" customWidth="1" min="5" max="5"/>
    <col width="14" customWidth="1" min="6" max="6"/>
    <col width="15" customWidth="1" min="7" max="7"/>
    <col width="14" customWidth="1" min="8" max="8"/>
    <col width="14" customWidth="1" min="9" max="9"/>
    <col width="15" customWidth="1" min="10" max="10"/>
    <col width="15" customWidth="1" min="11" max="11"/>
    <col width="14" customWidth="1" min="12" max="12"/>
  </cols>
  <sheetData>
    <row r="1">
      <c r="A1" s="1" t="inlineStr">
        <is>
          <t>Nóminas — 3T 2026</t>
        </is>
      </c>
    </row>
    <row r="2">
      <c r="A2" s="2" t="inlineStr">
        <is>
          <t>Los totales del asiento que produce /generar-apu-nominas. En RP CHARGER se suman las tres sub-empresas (00094, 00095, 00096).</t>
        </is>
      </c>
    </row>
    <row r="4" ht="30" customHeight="1">
      <c r="A4" s="10" t="inlineStr">
        <is>
          <t>EMPRESA</t>
        </is>
      </c>
      <c r="B4" s="10" t="inlineStr">
        <is>
          <t>MES</t>
        </is>
      </c>
      <c r="C4" s="10" t="inlineStr">
        <is>
          <t>640 Sueldos</t>
        </is>
      </c>
      <c r="D4" s="10" t="inlineStr">
        <is>
          <t>642 SS empresa</t>
        </is>
      </c>
      <c r="E4" s="10" t="inlineStr">
        <is>
          <t>476 Organismos SS</t>
        </is>
      </c>
      <c r="F4" s="10" t="inlineStr">
        <is>
          <t>4751 IRPF</t>
        </is>
      </c>
      <c r="G4" s="10" t="inlineStr">
        <is>
          <t>465 Líquido</t>
        </is>
      </c>
      <c r="H4" s="10" t="inlineStr">
        <is>
          <t>460 Anticipos</t>
        </is>
      </c>
      <c r="I4" s="10" t="inlineStr">
        <is>
          <t>478 Embargos</t>
        </is>
      </c>
      <c r="J4" s="10" t="inlineStr">
        <is>
          <t>DEBE</t>
        </is>
      </c>
      <c r="K4" s="10" t="inlineStr">
        <is>
          <t>HABER</t>
        </is>
      </c>
      <c r="L4" s="10" t="inlineStr">
        <is>
          <t>CUADRE</t>
        </is>
      </c>
    </row>
    <row r="5">
      <c r="A5" s="17" t="inlineStr">
        <is>
          <t>RP</t>
        </is>
      </c>
      <c r="B5" s="17" t="inlineStr">
        <is>
          <t>07</t>
        </is>
      </c>
      <c r="C5" s="29" t="n"/>
      <c r="D5" s="29" t="n"/>
      <c r="E5" s="29" t="n"/>
      <c r="F5" s="29" t="n"/>
      <c r="G5" s="29" t="n"/>
      <c r="H5" s="29" t="n"/>
      <c r="I5" s="29" t="n"/>
      <c r="J5" s="27">
        <f>N(C5)+N(D5)</f>
        <v/>
      </c>
      <c r="K5" s="27">
        <f>N(E5)+N(F5)+N(G5)+N(H5)+N(I5)</f>
        <v/>
      </c>
      <c r="L5" s="19">
        <f>IF(ROUND(J5-K5,2)=0,"OK","DESCUADRA "&amp;TEXT(J5-K5,"0.00"))</f>
        <v/>
      </c>
    </row>
    <row r="6">
      <c r="A6" s="17" t="inlineStr">
        <is>
          <t>RP</t>
        </is>
      </c>
      <c r="B6" s="17" t="inlineStr">
        <is>
          <t>08</t>
        </is>
      </c>
      <c r="C6" s="29" t="n"/>
      <c r="D6" s="29" t="n"/>
      <c r="E6" s="29" t="n"/>
      <c r="F6" s="29" t="n"/>
      <c r="G6" s="29" t="n"/>
      <c r="H6" s="29" t="n"/>
      <c r="I6" s="29" t="n"/>
      <c r="J6" s="27">
        <f>N(C6)+N(D6)</f>
        <v/>
      </c>
      <c r="K6" s="27">
        <f>N(E6)+N(F6)+N(G6)+N(H6)+N(I6)</f>
        <v/>
      </c>
      <c r="L6" s="19">
        <f>IF(ROUND(J6-K6,2)=0,"OK","DESCUADRA "&amp;TEXT(J6-K6,"0.00"))</f>
        <v/>
      </c>
    </row>
    <row r="7">
      <c r="A7" s="17" t="inlineStr">
        <is>
          <t>RP</t>
        </is>
      </c>
      <c r="B7" s="17" t="inlineStr">
        <is>
          <t>09</t>
        </is>
      </c>
      <c r="C7" s="29" t="n"/>
      <c r="D7" s="29" t="n"/>
      <c r="E7" s="29" t="n"/>
      <c r="F7" s="29" t="n"/>
      <c r="G7" s="29" t="n"/>
      <c r="H7" s="29" t="n"/>
      <c r="I7" s="29" t="n"/>
      <c r="J7" s="27">
        <f>N(C7)+N(D7)</f>
        <v/>
      </c>
      <c r="K7" s="27">
        <f>N(E7)+N(F7)+N(G7)+N(H7)+N(I7)</f>
        <v/>
      </c>
      <c r="L7" s="19">
        <f>IF(ROUND(J7-K7,2)=0,"OK","DESCUADRA "&amp;TEXT(J7-K7,"0.00"))</f>
        <v/>
      </c>
    </row>
    <row r="8">
      <c r="A8" s="17" t="inlineStr">
        <is>
          <t>PROIM</t>
        </is>
      </c>
      <c r="B8" s="17" t="inlineStr">
        <is>
          <t>07</t>
        </is>
      </c>
      <c r="C8" s="29" t="n"/>
      <c r="D8" s="29" t="n"/>
      <c r="E8" s="29" t="n"/>
      <c r="F8" s="29" t="n"/>
      <c r="G8" s="29" t="n"/>
      <c r="H8" s="29" t="n"/>
      <c r="I8" s="29" t="n"/>
      <c r="J8" s="27">
        <f>N(C8)+N(D8)</f>
        <v/>
      </c>
      <c r="K8" s="27">
        <f>N(E8)+N(F8)+N(G8)+N(H8)+N(I8)</f>
        <v/>
      </c>
      <c r="L8" s="19">
        <f>IF(ROUND(J8-K8,2)=0,"OK","DESCUADRA "&amp;TEXT(J8-K8,"0.00"))</f>
        <v/>
      </c>
    </row>
    <row r="9">
      <c r="A9" s="17" t="inlineStr">
        <is>
          <t>PROIM</t>
        </is>
      </c>
      <c r="B9" s="17" t="inlineStr">
        <is>
          <t>08</t>
        </is>
      </c>
      <c r="C9" s="29" t="n"/>
      <c r="D9" s="29" t="n"/>
      <c r="E9" s="29" t="n"/>
      <c r="F9" s="29" t="n"/>
      <c r="G9" s="29" t="n"/>
      <c r="H9" s="29" t="n"/>
      <c r="I9" s="29" t="n"/>
      <c r="J9" s="27">
        <f>N(C9)+N(D9)</f>
        <v/>
      </c>
      <c r="K9" s="27">
        <f>N(E9)+N(F9)+N(G9)+N(H9)+N(I9)</f>
        <v/>
      </c>
      <c r="L9" s="19">
        <f>IF(ROUND(J9-K9,2)=0,"OK","DESCUADRA "&amp;TEXT(J9-K9,"0.00"))</f>
        <v/>
      </c>
    </row>
    <row r="10">
      <c r="A10" s="17" t="inlineStr">
        <is>
          <t>PROIM</t>
        </is>
      </c>
      <c r="B10" s="17" t="inlineStr">
        <is>
          <t>09</t>
        </is>
      </c>
      <c r="C10" s="29" t="n"/>
      <c r="D10" s="29" t="n"/>
      <c r="E10" s="29" t="n"/>
      <c r="F10" s="29" t="n"/>
      <c r="G10" s="29" t="n"/>
      <c r="H10" s="29" t="n"/>
      <c r="I10" s="29" t="n"/>
      <c r="J10" s="27">
        <f>N(C10)+N(D10)</f>
        <v/>
      </c>
      <c r="K10" s="27">
        <f>N(E10)+N(F10)+N(G10)+N(H10)+N(I10)</f>
        <v/>
      </c>
      <c r="L10" s="19">
        <f>IF(ROUND(J10-K10,2)=0,"OK","DESCUADRA "&amp;TEXT(J10-K10,"0.00"))</f>
        <v/>
      </c>
    </row>
    <row r="12">
      <c r="B12" s="2" t="inlineStr">
        <is>
          <t>Regla dura: 640 + 642 = 476 + 4751 + 465 + 460 + 478. Si un mes no cuadra al céntimo, no se genera el asiento: se revisa.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49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46" customWidth="1" min="2" max="2"/>
    <col width="10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Liquidación de IVA — 3T 2026</t>
        </is>
      </c>
    </row>
    <row r="2">
      <c r="A2" s="2" t="inlineStr">
        <is>
          <t>Se calcula desde las facturas, no desde los asientos. Son dos caminos independientes que tienen que dar lo mismo.</t>
        </is>
      </c>
    </row>
    <row r="4">
      <c r="B4" s="30" t="inlineStr">
        <is>
          <t>RP CHARGER SL</t>
        </is>
      </c>
    </row>
    <row r="5" ht="30" customHeight="1">
      <c r="A5" s="31" t="inlineStr"/>
      <c r="B5" s="31" t="inlineStr">
        <is>
          <t>CONCEPTO</t>
        </is>
      </c>
      <c r="C5" s="31" t="inlineStr">
        <is>
          <t>CASILLA</t>
        </is>
      </c>
      <c r="D5" s="31" t="inlineStr">
        <is>
          <t>JULIO</t>
        </is>
      </c>
      <c r="E5" s="31" t="inlineStr">
        <is>
          <t>AGOSTO</t>
        </is>
      </c>
      <c r="F5" s="31" t="inlineStr">
        <is>
          <t>SEPTIEMBRE</t>
        </is>
      </c>
      <c r="G5" s="31" t="inlineStr">
        <is>
          <t>TRIMESTRE</t>
        </is>
      </c>
    </row>
    <row r="6">
      <c r="B6" s="32" t="inlineStr">
        <is>
          <t>IVA DEVENGADO</t>
        </is>
      </c>
    </row>
    <row r="7">
      <c r="B7" s="17" t="inlineStr">
        <is>
          <t>Régimen general — base al 21%</t>
        </is>
      </c>
      <c r="C7" s="20" t="n"/>
      <c r="D7" s="33">
        <f>SUMIFS('F_EMITIDAS'!$H$5:$H$404,'F_EMITIDAS'!$A$5:$A$404,"RP",'F_EMITIDAS'!$B$5:$B$404,"07",'F_EMITIDAS'!$M$5:$M$404,"NO",'F_EMITIDAS'!$I$5:$I$404,0.21)</f>
        <v/>
      </c>
      <c r="E7" s="33">
        <f>SUMIFS('F_EMITIDAS'!$H$5:$H$404,'F_EMITIDAS'!$A$5:$A$404,"RP",'F_EMITIDAS'!$B$5:$B$404,"08",'F_EMITIDAS'!$M$5:$M$404,"NO",'F_EMITIDAS'!$I$5:$I$404,0.21)</f>
        <v/>
      </c>
      <c r="F7" s="33">
        <f>SUMIFS('F_EMITIDAS'!$H$5:$H$404,'F_EMITIDAS'!$A$5:$A$404,"RP",'F_EMITIDAS'!$B$5:$B$404,"09",'F_EMITIDAS'!$M$5:$M$404,"NO",'F_EMITIDAS'!$I$5:$I$404,0.21)</f>
        <v/>
      </c>
      <c r="G7" s="27">
        <f>SUM(D7:F7)</f>
        <v/>
      </c>
    </row>
    <row r="8">
      <c r="B8" s="17" t="inlineStr">
        <is>
          <t>Régimen general — base al 10%</t>
        </is>
      </c>
      <c r="C8" s="20" t="n"/>
      <c r="D8" s="33">
        <f>SUMIFS('F_EMITIDAS'!$H$5:$H$404,'F_EMITIDAS'!$A$5:$A$404,"RP",'F_EMITIDAS'!$B$5:$B$404,"07",'F_EMITIDAS'!$M$5:$M$404,"NO",'F_EMITIDAS'!$I$5:$I$404,0.1)</f>
        <v/>
      </c>
      <c r="E8" s="33">
        <f>SUMIFS('F_EMITIDAS'!$H$5:$H$404,'F_EMITIDAS'!$A$5:$A$404,"RP",'F_EMITIDAS'!$B$5:$B$404,"08",'F_EMITIDAS'!$M$5:$M$404,"NO",'F_EMITIDAS'!$I$5:$I$404,0.1)</f>
        <v/>
      </c>
      <c r="F8" s="33">
        <f>SUMIFS('F_EMITIDAS'!$H$5:$H$404,'F_EMITIDAS'!$A$5:$A$404,"RP",'F_EMITIDAS'!$B$5:$B$404,"09",'F_EMITIDAS'!$M$5:$M$404,"NO",'F_EMITIDAS'!$I$5:$I$404,0.1)</f>
        <v/>
      </c>
      <c r="G8" s="27">
        <f>SUM(D8:F8)</f>
        <v/>
      </c>
    </row>
    <row r="9">
      <c r="B9" s="17" t="inlineStr">
        <is>
          <t>Régimen general — base al 4%</t>
        </is>
      </c>
      <c r="C9" s="20" t="n"/>
      <c r="D9" s="33">
        <f>SUMIFS('F_EMITIDAS'!$H$5:$H$404,'F_EMITIDAS'!$A$5:$A$404,"RP",'F_EMITIDAS'!$B$5:$B$404,"07",'F_EMITIDAS'!$M$5:$M$404,"NO",'F_EMITIDAS'!$I$5:$I$404,0.04)</f>
        <v/>
      </c>
      <c r="E9" s="33">
        <f>SUMIFS('F_EMITIDAS'!$H$5:$H$404,'F_EMITIDAS'!$A$5:$A$404,"RP",'F_EMITIDAS'!$B$5:$B$404,"08",'F_EMITIDAS'!$M$5:$M$404,"NO",'F_EMITIDAS'!$I$5:$I$404,0.04)</f>
        <v/>
      </c>
      <c r="F9" s="33">
        <f>SUMIFS('F_EMITIDAS'!$H$5:$H$404,'F_EMITIDAS'!$A$5:$A$404,"RP",'F_EMITIDAS'!$B$5:$B$404,"09",'F_EMITIDAS'!$M$5:$M$404,"NO",'F_EMITIDAS'!$I$5:$I$404,0.04)</f>
        <v/>
      </c>
      <c r="G9" s="27">
        <f>SUM(D9:F9)</f>
        <v/>
      </c>
    </row>
    <row r="10">
      <c r="B10" s="34" t="inlineStr">
        <is>
          <t>Cuota devengada</t>
        </is>
      </c>
      <c r="C10" s="20" t="n"/>
      <c r="D10" s="33">
        <f>SUMIFS('F_EMITIDAS'!$J$5:$J$404,'F_EMITIDAS'!$A$5:$A$404,"RP",'F_EMITIDAS'!$B$5:$B$404,"07",'F_EMITIDAS'!$M$5:$M$404,"NO")</f>
        <v/>
      </c>
      <c r="E10" s="33">
        <f>SUMIFS('F_EMITIDAS'!$J$5:$J$404,'F_EMITIDAS'!$A$5:$A$404,"RP",'F_EMITIDAS'!$B$5:$B$404,"08",'F_EMITIDAS'!$M$5:$M$404,"NO")</f>
        <v/>
      </c>
      <c r="F10" s="33">
        <f>SUMIFS('F_EMITIDAS'!$J$5:$J$404,'F_EMITIDAS'!$A$5:$A$404,"RP",'F_EMITIDAS'!$B$5:$B$404,"09",'F_EMITIDAS'!$M$5:$M$404,"NO")</f>
        <v/>
      </c>
      <c r="G10" s="27">
        <f>SUM(D10:F10)</f>
        <v/>
      </c>
    </row>
    <row r="11">
      <c r="B11" s="17" t="inlineStr">
        <is>
          <t>ISP — base de facturas emitidas con inversión del sujeto pasivo (informativa, no suma cuota)</t>
        </is>
      </c>
      <c r="C11" s="20" t="n"/>
      <c r="D11" s="29" t="n"/>
      <c r="E11" s="29" t="n"/>
      <c r="F11" s="29" t="n"/>
      <c r="G11" s="27">
        <f>SUM(D11:F11)</f>
        <v/>
      </c>
    </row>
    <row r="12">
      <c r="B12" s="17" t="inlineStr">
        <is>
          <t>Adquisiciones intracomunitarias — cuota autorrepercutida</t>
        </is>
      </c>
      <c r="C12" s="20" t="n"/>
      <c r="D12" s="29" t="n"/>
      <c r="E12" s="29" t="n"/>
      <c r="F12" s="29" t="n"/>
      <c r="G12" s="27">
        <f>SUM(D12:F12)</f>
        <v/>
      </c>
    </row>
    <row r="13">
      <c r="B13" s="34" t="inlineStr">
        <is>
          <t>TOTAL DEVENGADO</t>
        </is>
      </c>
      <c r="C13" s="20" t="n"/>
      <c r="D13" s="35">
        <f>D10+N(D12)</f>
        <v/>
      </c>
      <c r="E13" s="35">
        <f>E10+N(E12)</f>
        <v/>
      </c>
      <c r="F13" s="35">
        <f>F10+N(F12)</f>
        <v/>
      </c>
      <c r="G13" s="27">
        <f>SUM(D13:F13)</f>
        <v/>
      </c>
    </row>
    <row r="15">
      <c r="B15" s="32" t="inlineStr">
        <is>
          <t>IVA DEDUCIBLE</t>
        </is>
      </c>
    </row>
    <row r="16">
      <c r="B16" s="17" t="inlineStr">
        <is>
          <t>Operaciones interiores corrientes — base</t>
        </is>
      </c>
      <c r="C16" s="20" t="n"/>
      <c r="D16" s="33">
        <f>SUMIFS('F_RECIBIDAS'!$I$5:$I$404,'F_RECIBIDAS'!$A$5:$A$404,"RP",'F_RECIBIDAS'!$B$5:$B$404,"07")</f>
        <v/>
      </c>
      <c r="E16" s="33">
        <f>SUMIFS('F_RECIBIDAS'!$I$5:$I$404,'F_RECIBIDAS'!$A$5:$A$404,"RP",'F_RECIBIDAS'!$B$5:$B$404,"08")</f>
        <v/>
      </c>
      <c r="F16" s="33">
        <f>SUMIFS('F_RECIBIDAS'!$I$5:$I$404,'F_RECIBIDAS'!$A$5:$A$404,"RP",'F_RECIBIDAS'!$B$5:$B$404,"09")</f>
        <v/>
      </c>
      <c r="G16" s="27">
        <f>SUM(D16:F16)</f>
        <v/>
      </c>
    </row>
    <row r="17">
      <c r="B17" s="34" t="inlineStr">
        <is>
          <t>Operaciones interiores corrientes — cuota deducible</t>
        </is>
      </c>
      <c r="C17" s="20" t="n"/>
      <c r="D17" s="33">
        <f>SUMIFS('F_RECIBIDAS'!$O$5:$O$404,'F_RECIBIDAS'!$A$5:$A$404,"RP",'F_RECIBIDAS'!$B$5:$B$404,"07")</f>
        <v/>
      </c>
      <c r="E17" s="33">
        <f>SUMIFS('F_RECIBIDAS'!$O$5:$O$404,'F_RECIBIDAS'!$A$5:$A$404,"RP",'F_RECIBIDAS'!$B$5:$B$404,"08")</f>
        <v/>
      </c>
      <c r="F17" s="33">
        <f>SUMIFS('F_RECIBIDAS'!$O$5:$O$404,'F_RECIBIDAS'!$A$5:$A$404,"RP",'F_RECIBIDAS'!$B$5:$B$404,"09")</f>
        <v/>
      </c>
      <c r="G17" s="27">
        <f>SUM(D17:F17)</f>
        <v/>
      </c>
    </row>
    <row r="18">
      <c r="B18" s="17" t="inlineStr">
        <is>
          <t>Bienes de inversión — cuota deducible</t>
        </is>
      </c>
      <c r="C18" s="20" t="n"/>
      <c r="D18" s="29" t="n"/>
      <c r="E18" s="29" t="n"/>
      <c r="F18" s="29" t="n"/>
      <c r="G18" s="27">
        <f>SUM(D18:F18)</f>
        <v/>
      </c>
    </row>
    <row r="19">
      <c r="B19" s="17" t="inlineStr">
        <is>
          <t>ISP soportado — cuota deducible</t>
        </is>
      </c>
      <c r="C19" s="20" t="n"/>
      <c r="D19" s="29" t="n"/>
      <c r="E19" s="29" t="n"/>
      <c r="F19" s="29" t="n"/>
      <c r="G19" s="27">
        <f>SUM(D19:F19)</f>
        <v/>
      </c>
    </row>
    <row r="20">
      <c r="B20" s="17" t="inlineStr">
        <is>
          <t>Cuotas a compensar del periodo anterior</t>
        </is>
      </c>
      <c r="C20" s="20" t="n"/>
      <c r="D20" s="29" t="n"/>
      <c r="E20" s="29" t="n"/>
      <c r="F20" s="29" t="n"/>
      <c r="G20" s="27">
        <f>SUM(D20:F20)</f>
        <v/>
      </c>
    </row>
    <row r="21">
      <c r="B21" s="34" t="inlineStr">
        <is>
          <t>TOTAL DEDUCIBLE</t>
        </is>
      </c>
      <c r="C21" s="20" t="n"/>
      <c r="D21" s="36">
        <f>D17+N(D18)+N(D19)+N(D20)</f>
        <v/>
      </c>
      <c r="E21" s="36">
        <f>E17+N(E18)+N(E19)+N(E20)</f>
        <v/>
      </c>
      <c r="F21" s="36">
        <f>F17+N(F18)+N(F19)+N(F20)</f>
        <v/>
      </c>
      <c r="G21" s="27">
        <f>SUM(D21:F21)</f>
        <v/>
      </c>
    </row>
    <row r="23">
      <c r="B23" s="34" t="inlineStr">
        <is>
          <t>RESULTADO DEL PERIODO</t>
        </is>
      </c>
      <c r="C23" s="20" t="n"/>
      <c r="D23" s="37">
        <f>D13-D21</f>
        <v/>
      </c>
      <c r="E23" s="37">
        <f>E13-E21</f>
        <v/>
      </c>
      <c r="F23" s="37">
        <f>F13-F21</f>
        <v/>
      </c>
      <c r="G23" s="37">
        <f>SUM(D23:F23)</f>
        <v/>
      </c>
    </row>
    <row r="26">
      <c r="B26" s="30" t="inlineStr">
        <is>
          <t>PROIM BALEAR SL</t>
        </is>
      </c>
    </row>
    <row r="27" ht="30" customHeight="1">
      <c r="A27" s="31" t="inlineStr"/>
      <c r="B27" s="31" t="inlineStr">
        <is>
          <t>CONCEPTO</t>
        </is>
      </c>
      <c r="C27" s="31" t="inlineStr">
        <is>
          <t>CASILLA</t>
        </is>
      </c>
      <c r="D27" s="31" t="inlineStr">
        <is>
          <t>JULIO</t>
        </is>
      </c>
      <c r="E27" s="31" t="inlineStr">
        <is>
          <t>AGOSTO</t>
        </is>
      </c>
      <c r="F27" s="31" t="inlineStr">
        <is>
          <t>SEPTIEMBRE</t>
        </is>
      </c>
      <c r="G27" s="31" t="inlineStr">
        <is>
          <t>TRIMESTRE</t>
        </is>
      </c>
    </row>
    <row r="28">
      <c r="B28" s="32" t="inlineStr">
        <is>
          <t>IVA DEVENGADO</t>
        </is>
      </c>
    </row>
    <row r="29">
      <c r="B29" s="17" t="inlineStr">
        <is>
          <t>Régimen general — base al 21%</t>
        </is>
      </c>
      <c r="C29" s="20" t="n"/>
      <c r="D29" s="33">
        <f>SUMIFS('F_EMITIDAS'!$H$5:$H$404,'F_EMITIDAS'!$A$5:$A$404,"PROIM",'F_EMITIDAS'!$B$5:$B$404,"07",'F_EMITIDAS'!$M$5:$M$404,"NO",'F_EMITIDAS'!$I$5:$I$404,0.21)</f>
        <v/>
      </c>
      <c r="E29" s="33">
        <f>SUMIFS('F_EMITIDAS'!$H$5:$H$404,'F_EMITIDAS'!$A$5:$A$404,"PROIM",'F_EMITIDAS'!$B$5:$B$404,"08",'F_EMITIDAS'!$M$5:$M$404,"NO",'F_EMITIDAS'!$I$5:$I$404,0.21)</f>
        <v/>
      </c>
      <c r="F29" s="33">
        <f>SUMIFS('F_EMITIDAS'!$H$5:$H$404,'F_EMITIDAS'!$A$5:$A$404,"PROIM",'F_EMITIDAS'!$B$5:$B$404,"09",'F_EMITIDAS'!$M$5:$M$404,"NO",'F_EMITIDAS'!$I$5:$I$404,0.21)</f>
        <v/>
      </c>
      <c r="G29" s="27">
        <f>SUM(D29:F29)</f>
        <v/>
      </c>
    </row>
    <row r="30">
      <c r="B30" s="17" t="inlineStr">
        <is>
          <t>Régimen general — base al 10%</t>
        </is>
      </c>
      <c r="C30" s="20" t="n"/>
      <c r="D30" s="33">
        <f>SUMIFS('F_EMITIDAS'!$H$5:$H$404,'F_EMITIDAS'!$A$5:$A$404,"PROIM",'F_EMITIDAS'!$B$5:$B$404,"07",'F_EMITIDAS'!$M$5:$M$404,"NO",'F_EMITIDAS'!$I$5:$I$404,0.1)</f>
        <v/>
      </c>
      <c r="E30" s="33">
        <f>SUMIFS('F_EMITIDAS'!$H$5:$H$404,'F_EMITIDAS'!$A$5:$A$404,"PROIM",'F_EMITIDAS'!$B$5:$B$404,"08",'F_EMITIDAS'!$M$5:$M$404,"NO",'F_EMITIDAS'!$I$5:$I$404,0.1)</f>
        <v/>
      </c>
      <c r="F30" s="33">
        <f>SUMIFS('F_EMITIDAS'!$H$5:$H$404,'F_EMITIDAS'!$A$5:$A$404,"PROIM",'F_EMITIDAS'!$B$5:$B$404,"09",'F_EMITIDAS'!$M$5:$M$404,"NO",'F_EMITIDAS'!$I$5:$I$404,0.1)</f>
        <v/>
      </c>
      <c r="G30" s="27">
        <f>SUM(D30:F30)</f>
        <v/>
      </c>
    </row>
    <row r="31">
      <c r="B31" s="17" t="inlineStr">
        <is>
          <t>Régimen general — base al 4%</t>
        </is>
      </c>
      <c r="C31" s="20" t="n"/>
      <c r="D31" s="33">
        <f>SUMIFS('F_EMITIDAS'!$H$5:$H$404,'F_EMITIDAS'!$A$5:$A$404,"PROIM",'F_EMITIDAS'!$B$5:$B$404,"07",'F_EMITIDAS'!$M$5:$M$404,"NO",'F_EMITIDAS'!$I$5:$I$404,0.04)</f>
        <v/>
      </c>
      <c r="E31" s="33">
        <f>SUMIFS('F_EMITIDAS'!$H$5:$H$404,'F_EMITIDAS'!$A$5:$A$404,"PROIM",'F_EMITIDAS'!$B$5:$B$404,"08",'F_EMITIDAS'!$M$5:$M$404,"NO",'F_EMITIDAS'!$I$5:$I$404,0.04)</f>
        <v/>
      </c>
      <c r="F31" s="33">
        <f>SUMIFS('F_EMITIDAS'!$H$5:$H$404,'F_EMITIDAS'!$A$5:$A$404,"PROIM",'F_EMITIDAS'!$B$5:$B$404,"09",'F_EMITIDAS'!$M$5:$M$404,"NO",'F_EMITIDAS'!$I$5:$I$404,0.04)</f>
        <v/>
      </c>
      <c r="G31" s="27">
        <f>SUM(D31:F31)</f>
        <v/>
      </c>
    </row>
    <row r="32">
      <c r="B32" s="34" t="inlineStr">
        <is>
          <t>Cuota devengada</t>
        </is>
      </c>
      <c r="C32" s="20" t="n"/>
      <c r="D32" s="33">
        <f>SUMIFS('F_EMITIDAS'!$J$5:$J$404,'F_EMITIDAS'!$A$5:$A$404,"PROIM",'F_EMITIDAS'!$B$5:$B$404,"07",'F_EMITIDAS'!$M$5:$M$404,"NO")</f>
        <v/>
      </c>
      <c r="E32" s="33">
        <f>SUMIFS('F_EMITIDAS'!$J$5:$J$404,'F_EMITIDAS'!$A$5:$A$404,"PROIM",'F_EMITIDAS'!$B$5:$B$404,"08",'F_EMITIDAS'!$M$5:$M$404,"NO")</f>
        <v/>
      </c>
      <c r="F32" s="33">
        <f>SUMIFS('F_EMITIDAS'!$J$5:$J$404,'F_EMITIDAS'!$A$5:$A$404,"PROIM",'F_EMITIDAS'!$B$5:$B$404,"09",'F_EMITIDAS'!$M$5:$M$404,"NO")</f>
        <v/>
      </c>
      <c r="G32" s="27">
        <f>SUM(D32:F32)</f>
        <v/>
      </c>
    </row>
    <row r="33">
      <c r="B33" s="17" t="inlineStr">
        <is>
          <t>ISP — base de facturas emitidas con inversión del sujeto pasivo (informativa, no suma cuota)</t>
        </is>
      </c>
      <c r="C33" s="20" t="n"/>
      <c r="D33" s="29" t="n"/>
      <c r="E33" s="29" t="n"/>
      <c r="F33" s="29" t="n"/>
      <c r="G33" s="27">
        <f>SUM(D33:F33)</f>
        <v/>
      </c>
    </row>
    <row r="34">
      <c r="B34" s="17" t="inlineStr">
        <is>
          <t>Adquisiciones intracomunitarias — cuota autorrepercutida</t>
        </is>
      </c>
      <c r="C34" s="20" t="n"/>
      <c r="D34" s="29" t="n"/>
      <c r="E34" s="29" t="n"/>
      <c r="F34" s="29" t="n"/>
      <c r="G34" s="27">
        <f>SUM(D34:F34)</f>
        <v/>
      </c>
    </row>
    <row r="35">
      <c r="B35" s="34" t="inlineStr">
        <is>
          <t>TOTAL DEVENGADO</t>
        </is>
      </c>
      <c r="C35" s="20" t="n"/>
      <c r="D35" s="35">
        <f>D32+N(D34)</f>
        <v/>
      </c>
      <c r="E35" s="35">
        <f>E32+N(E34)</f>
        <v/>
      </c>
      <c r="F35" s="35">
        <f>F32+N(F34)</f>
        <v/>
      </c>
      <c r="G35" s="27">
        <f>SUM(D35:F35)</f>
        <v/>
      </c>
    </row>
    <row r="37">
      <c r="B37" s="32" t="inlineStr">
        <is>
          <t>IVA DEDUCIBLE</t>
        </is>
      </c>
    </row>
    <row r="38">
      <c r="B38" s="17" t="inlineStr">
        <is>
          <t>Operaciones interiores corrientes — base</t>
        </is>
      </c>
      <c r="C38" s="20" t="n"/>
      <c r="D38" s="33">
        <f>SUMIFS('F_RECIBIDAS'!$I$5:$I$404,'F_RECIBIDAS'!$A$5:$A$404,"PROIM",'F_RECIBIDAS'!$B$5:$B$404,"07")</f>
        <v/>
      </c>
      <c r="E38" s="33">
        <f>SUMIFS('F_RECIBIDAS'!$I$5:$I$404,'F_RECIBIDAS'!$A$5:$A$404,"PROIM",'F_RECIBIDAS'!$B$5:$B$404,"08")</f>
        <v/>
      </c>
      <c r="F38" s="33">
        <f>SUMIFS('F_RECIBIDAS'!$I$5:$I$404,'F_RECIBIDAS'!$A$5:$A$404,"PROIM",'F_RECIBIDAS'!$B$5:$B$404,"09")</f>
        <v/>
      </c>
      <c r="G38" s="27">
        <f>SUM(D38:F38)</f>
        <v/>
      </c>
    </row>
    <row r="39">
      <c r="B39" s="34" t="inlineStr">
        <is>
          <t>Operaciones interiores corrientes — cuota deducible</t>
        </is>
      </c>
      <c r="C39" s="20" t="n"/>
      <c r="D39" s="33">
        <f>SUMIFS('F_RECIBIDAS'!$O$5:$O$404,'F_RECIBIDAS'!$A$5:$A$404,"PROIM",'F_RECIBIDAS'!$B$5:$B$404,"07")</f>
        <v/>
      </c>
      <c r="E39" s="33">
        <f>SUMIFS('F_RECIBIDAS'!$O$5:$O$404,'F_RECIBIDAS'!$A$5:$A$404,"PROIM",'F_RECIBIDAS'!$B$5:$B$404,"08")</f>
        <v/>
      </c>
      <c r="F39" s="33">
        <f>SUMIFS('F_RECIBIDAS'!$O$5:$O$404,'F_RECIBIDAS'!$A$5:$A$404,"PROIM",'F_RECIBIDAS'!$B$5:$B$404,"09")</f>
        <v/>
      </c>
      <c r="G39" s="27">
        <f>SUM(D39:F39)</f>
        <v/>
      </c>
    </row>
    <row r="40">
      <c r="B40" s="17" t="inlineStr">
        <is>
          <t>Bienes de inversión — cuota deducible</t>
        </is>
      </c>
      <c r="C40" s="20" t="n"/>
      <c r="D40" s="29" t="n"/>
      <c r="E40" s="29" t="n"/>
      <c r="F40" s="29" t="n"/>
      <c r="G40" s="27">
        <f>SUM(D40:F40)</f>
        <v/>
      </c>
    </row>
    <row r="41">
      <c r="B41" s="17" t="inlineStr">
        <is>
          <t>ISP soportado — cuota deducible</t>
        </is>
      </c>
      <c r="C41" s="20" t="n"/>
      <c r="D41" s="29" t="n"/>
      <c r="E41" s="29" t="n"/>
      <c r="F41" s="29" t="n"/>
      <c r="G41" s="27">
        <f>SUM(D41:F41)</f>
        <v/>
      </c>
    </row>
    <row r="42">
      <c r="B42" s="17" t="inlineStr">
        <is>
          <t>Cuotas a compensar del periodo anterior</t>
        </is>
      </c>
      <c r="C42" s="20" t="n"/>
      <c r="D42" s="29" t="n"/>
      <c r="E42" s="29" t="n"/>
      <c r="F42" s="29" t="n"/>
      <c r="G42" s="27">
        <f>SUM(D42:F42)</f>
        <v/>
      </c>
    </row>
    <row r="43">
      <c r="B43" s="34" t="inlineStr">
        <is>
          <t>TOTAL DEDUCIBLE</t>
        </is>
      </c>
      <c r="C43" s="20" t="n"/>
      <c r="D43" s="36">
        <f>D39+N(D40)+N(D41)+N(D42)</f>
        <v/>
      </c>
      <c r="E43" s="36">
        <f>E39+N(E40)+N(E41)+N(E42)</f>
        <v/>
      </c>
      <c r="F43" s="36">
        <f>F39+N(F40)+N(F41)+N(F42)</f>
        <v/>
      </c>
      <c r="G43" s="27">
        <f>SUM(D43:F43)</f>
        <v/>
      </c>
    </row>
    <row r="45">
      <c r="B45" s="34" t="inlineStr">
        <is>
          <t>RESULTADO DEL PERIODO</t>
        </is>
      </c>
      <c r="C45" s="20" t="n"/>
      <c r="D45" s="37">
        <f>D35-D43</f>
        <v/>
      </c>
      <c r="E45" s="37">
        <f>E35-E43</f>
        <v/>
      </c>
      <c r="F45" s="37">
        <f>F35-F43</f>
        <v/>
      </c>
      <c r="G45" s="37">
        <f>SUM(D45:F45)</f>
        <v/>
      </c>
    </row>
    <row r="49">
      <c r="B49" s="2" t="inlineStr">
        <is>
          <t>La columna CASILLA se rellena con el número del modelo 303 vigente. Verificar contra el formulario del ejercicio antes de presentar: la numeración cambia entre versiones.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2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42" customWidth="1" min="2" max="2"/>
    <col width="14" customWidth="1" min="3" max="3"/>
    <col width="15" customWidth="1" min="4" max="4"/>
    <col width="15" customWidth="1" min="5" max="5"/>
    <col width="15" customWidth="1" min="6" max="6"/>
    <col width="15" customWidth="1" min="7" max="7"/>
    <col width="46" customWidth="1" min="8" max="8"/>
  </cols>
  <sheetData>
    <row r="1">
      <c r="A1" s="1" t="inlineStr">
        <is>
          <t>Retenciones — 3T 2026</t>
        </is>
      </c>
    </row>
    <row r="2">
      <c r="A2" s="2" t="inlineStr">
        <is>
          <t>Si no retienes, respondes tú de lo que debiste retener, aunque el perceptor haya declarado su ingreso.</t>
        </is>
      </c>
    </row>
    <row r="4" ht="30" customHeight="1">
      <c r="A4" s="31" t="inlineStr"/>
      <c r="B4" s="31" t="inlineStr">
        <is>
          <t>CONCEPTO</t>
        </is>
      </c>
      <c r="C4" s="31" t="inlineStr">
        <is>
          <t>EMPRESA</t>
        </is>
      </c>
      <c r="D4" s="31" t="inlineStr">
        <is>
          <t>JULIO</t>
        </is>
      </c>
      <c r="E4" s="31" t="inlineStr">
        <is>
          <t>AGOSTO</t>
        </is>
      </c>
      <c r="F4" s="31" t="inlineStr">
        <is>
          <t>SEPTIEMBRE</t>
        </is>
      </c>
      <c r="G4" s="31" t="inlineStr">
        <is>
          <t>TRIMESTRE</t>
        </is>
      </c>
      <c r="H4" s="31" t="inlineStr">
        <is>
          <t>NOTA</t>
        </is>
      </c>
    </row>
    <row r="5">
      <c r="B5" s="17" t="inlineStr">
        <is>
          <t>MODELO 111 — Rendimientos del trabajo (nóminas)</t>
        </is>
      </c>
      <c r="C5" s="17" t="inlineStr">
        <is>
          <t>RP</t>
        </is>
      </c>
      <c r="D5" s="29" t="n"/>
      <c r="E5" s="29" t="n"/>
      <c r="F5" s="29" t="n"/>
      <c r="G5" s="27">
        <f>SUM(D5:F5)</f>
        <v/>
      </c>
      <c r="H5" s="21" t="inlineStr">
        <is>
          <t>Sale de la 4751 de la hoja NOMINAS</t>
        </is>
      </c>
    </row>
    <row r="6">
      <c r="B6" s="17" t="inlineStr">
        <is>
          <t>MODELO 111 — Rendimientos del trabajo (nóminas)</t>
        </is>
      </c>
      <c r="C6" s="17" t="inlineStr">
        <is>
          <t>PROIM</t>
        </is>
      </c>
      <c r="D6" s="29" t="n"/>
      <c r="E6" s="29" t="n"/>
      <c r="F6" s="29" t="n"/>
      <c r="G6" s="27">
        <f>SUM(D6:F6)</f>
        <v/>
      </c>
      <c r="H6" s="21" t="inlineStr">
        <is>
          <t>Sale de la 4751 de la hoja NOMINAS</t>
        </is>
      </c>
    </row>
    <row r="7">
      <c r="B7" s="17" t="inlineStr">
        <is>
          <t>MODELO 111 — Profesionales</t>
        </is>
      </c>
      <c r="C7" s="17" t="inlineStr">
        <is>
          <t>RP</t>
        </is>
      </c>
      <c r="D7" s="29" t="n"/>
      <c r="E7" s="29" t="n"/>
      <c r="F7" s="29" t="n"/>
      <c r="G7" s="27">
        <f>SUM(D7:F7)</f>
        <v/>
      </c>
      <c r="H7" s="21" t="inlineStr">
        <is>
          <t>Facturas donde el pago ≠ total de la factura</t>
        </is>
      </c>
    </row>
    <row r="8">
      <c r="B8" s="17" t="inlineStr">
        <is>
          <t>MODELO 111 — Profesionales</t>
        </is>
      </c>
      <c r="C8" s="17" t="inlineStr">
        <is>
          <t>PROIM</t>
        </is>
      </c>
      <c r="D8" s="29" t="n"/>
      <c r="E8" s="29" t="n"/>
      <c r="F8" s="29" t="n"/>
      <c r="G8" s="27">
        <f>SUM(D8:F8)</f>
        <v/>
      </c>
      <c r="H8" s="21" t="inlineStr">
        <is>
          <t>Facturas donde el pago ≠ total de la factura</t>
        </is>
      </c>
    </row>
    <row r="9">
      <c r="B9" s="17" t="inlineStr">
        <is>
          <t>MODELO 115 — Arrendamiento de local</t>
        </is>
      </c>
      <c r="C9" s="17" t="inlineStr">
        <is>
          <t>RP</t>
        </is>
      </c>
      <c r="D9" s="29" t="n"/>
      <c r="E9" s="29" t="n"/>
      <c r="F9" s="29" t="n"/>
      <c r="G9" s="27">
        <f>SUM(D9:F9)</f>
        <v/>
      </c>
      <c r="H9" s="21" t="inlineStr">
        <is>
          <t>¿Se retiene? ¿Hay certificado de exención?</t>
        </is>
      </c>
    </row>
    <row r="10">
      <c r="B10" s="17" t="inlineStr">
        <is>
          <t>MODELO 115 — Arrendamiento de local</t>
        </is>
      </c>
      <c r="C10" s="17" t="inlineStr">
        <is>
          <t>PROIM</t>
        </is>
      </c>
      <c r="D10" s="29" t="n"/>
      <c r="E10" s="29" t="n"/>
      <c r="F10" s="29" t="n"/>
      <c r="G10" s="27">
        <f>SUM(D10:F10)</f>
        <v/>
      </c>
      <c r="H10" s="21" t="inlineStr">
        <is>
          <t>¿Se retiene? ¿Hay certificado de exención?</t>
        </is>
      </c>
    </row>
    <row r="12">
      <c r="B12" s="2" t="inlineStr">
        <is>
          <t>La cuenta de H.P. acreedora por retenciones tiene que quedar a cero tras el ingreso. Un saldo que se arrastra es una retención practicada y no ingresada.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5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50" customWidth="1" min="2" max="2"/>
    <col width="12" customWidth="1" min="3" max="3"/>
    <col width="16" customWidth="1" min="4" max="4"/>
    <col width="16" customWidth="1" min="5" max="5"/>
    <col width="16" customWidth="1" min="6" max="6"/>
    <col width="16" customWidth="1" min="7" max="7"/>
    <col width="52" customWidth="1" min="8" max="8"/>
  </cols>
  <sheetData>
    <row r="1">
      <c r="A1" s="1" t="inlineStr">
        <is>
          <t>Control — no se importa nada a ContaSOL con un cuadre en rojo</t>
        </is>
      </c>
    </row>
    <row r="2">
      <c r="A2" s="2" t="inlineStr">
        <is>
          <t>Siete comprobaciones. Un fallo aquí invalida todo lo que venga después.</t>
        </is>
      </c>
    </row>
    <row r="4" ht="30" customHeight="1">
      <c r="A4" s="31" t="inlineStr">
        <is>
          <t>#</t>
        </is>
      </c>
      <c r="B4" s="31" t="inlineStr">
        <is>
          <t>COMPROBACIÓN</t>
        </is>
      </c>
      <c r="C4" s="31" t="inlineStr">
        <is>
          <t>EMPRESA</t>
        </is>
      </c>
      <c r="D4" s="31" t="inlineStr">
        <is>
          <t>ESPERADO</t>
        </is>
      </c>
      <c r="E4" s="31" t="inlineStr">
        <is>
          <t>OBTENIDO</t>
        </is>
      </c>
      <c r="F4" s="31" t="inlineStr">
        <is>
          <t>DIFERENCIA</t>
        </is>
      </c>
      <c r="G4" s="31" t="inlineStr">
        <is>
          <t>ESTADO</t>
        </is>
      </c>
      <c r="H4" s="31" t="inlineStr">
        <is>
          <t>SI FALLA</t>
        </is>
      </c>
    </row>
    <row r="5">
      <c r="A5" s="17" t="n">
        <v>1</v>
      </c>
      <c r="B5" s="17" t="inlineStr">
        <is>
          <t>Diario cuadrado: Σ DEBE = Σ HABER</t>
        </is>
      </c>
      <c r="C5" s="17" t="inlineStr">
        <is>
          <t>Las dos</t>
        </is>
      </c>
      <c r="D5" s="29" t="n"/>
      <c r="E5" s="29" t="n"/>
      <c r="F5" s="27">
        <f>N(E5)-N(D5)</f>
        <v/>
      </c>
      <c r="G5" s="19">
        <f>IF(AND(N(D5)=0,N(E5)=0),"SIN DATO",IF(ROUND(F5,2)=0,"OK","REVISAR"))</f>
        <v/>
      </c>
      <c r="H5" s="21" t="inlineStr">
        <is>
          <t>El parseo está mal o hay un asiento descuadrado</t>
        </is>
      </c>
    </row>
    <row r="6">
      <c r="A6" s="17" t="n">
        <v>2</v>
      </c>
      <c r="B6" s="17" t="inlineStr">
        <is>
          <t>Banco contra contabilidad: saldo extracto = saldo 572</t>
        </is>
      </c>
      <c r="C6" s="17" t="inlineStr">
        <is>
          <t>Las dos</t>
        </is>
      </c>
      <c r="D6" s="29" t="n"/>
      <c r="E6" s="29" t="n"/>
      <c r="F6" s="27">
        <f>N(E6)-N(D6)</f>
        <v/>
      </c>
      <c r="G6" s="19">
        <f>IF(AND(N(D6)=0,N(E6)=0),"SIN DATO",IF(ROUND(F6,2)=0,"OK","REVISAR"))</f>
        <v/>
      </c>
      <c r="H6" s="21" t="inlineStr">
        <is>
          <t>Es el fallo más grave. Se localiza antes de seguir</t>
        </is>
      </c>
    </row>
    <row r="7">
      <c r="A7" s="17" t="n">
        <v>3</v>
      </c>
      <c r="B7" s="17" t="inlineStr">
        <is>
          <t>Continuidad: saldo final mes N = saldo inicial mes N+1</t>
        </is>
      </c>
      <c r="C7" s="17" t="inlineStr">
        <is>
          <t>Las dos</t>
        </is>
      </c>
      <c r="D7" s="29" t="n"/>
      <c r="E7" s="29" t="n"/>
      <c r="F7" s="27">
        <f>N(E7)-N(D7)</f>
        <v/>
      </c>
      <c r="G7" s="19">
        <f>IF(AND(N(D7)=0,N(E7)=0),"SIN DATO",IF(ROUND(F7,2)=0,"OK","REVISAR"))</f>
        <v/>
      </c>
      <c r="H7" s="21" t="inlineStr">
        <is>
          <t>Falta un extracto o hay movimientos sin contabilizar</t>
        </is>
      </c>
    </row>
    <row r="8">
      <c r="A8" s="17" t="n">
        <v>4</v>
      </c>
      <c r="B8" s="17" t="inlineStr">
        <is>
          <t>Cuenta de dudas (555) a cero al cierre</t>
        </is>
      </c>
      <c r="C8" s="17" t="inlineStr">
        <is>
          <t>Las dos</t>
        </is>
      </c>
      <c r="D8" s="29" t="n"/>
      <c r="E8" s="29" t="n"/>
      <c r="F8" s="27">
        <f>N(E8)-N(D8)</f>
        <v/>
      </c>
      <c r="G8" s="19">
        <f>IF(AND(N(D8)=0,N(E8)=0),"SIN DATO",IF(ROUND(F8,2)=0,"OK","REVISAR"))</f>
        <v/>
      </c>
      <c r="H8" s="21" t="inlineStr">
        <is>
          <t>Cada euro ahí es contabilidad sin terminar</t>
        </is>
      </c>
    </row>
    <row r="9">
      <c r="A9" s="17" t="n">
        <v>5</v>
      </c>
      <c r="B9" s="17" t="inlineStr">
        <is>
          <t>IVA repercutido de F_EMITIDAS = saldo de la 477</t>
        </is>
      </c>
      <c r="C9" s="17" t="inlineStr">
        <is>
          <t>Las dos</t>
        </is>
      </c>
      <c r="D9" s="29" t="n"/>
      <c r="E9" s="29" t="n"/>
      <c r="F9" s="27">
        <f>N(E9)-N(D9)</f>
        <v/>
      </c>
      <c r="G9" s="19">
        <f>IF(AND(N(D9)=0,N(E9)=0),"SIN DATO",IF(ROUND(F9,2)=0,"OK","REVISAR"))</f>
        <v/>
      </c>
      <c r="H9" s="21" t="inlineStr">
        <is>
          <t>Hay facturas sin contabilizar o mal contabilizadas</t>
        </is>
      </c>
    </row>
    <row r="10">
      <c r="A10" s="17" t="n">
        <v>6</v>
      </c>
      <c r="B10" s="17" t="inlineStr">
        <is>
          <t>IVA soportado de F_RECIBIDAS = saldo de la 472</t>
        </is>
      </c>
      <c r="C10" s="17" t="inlineStr">
        <is>
          <t>Las dos</t>
        </is>
      </c>
      <c r="D10" s="29" t="n"/>
      <c r="E10" s="29" t="n"/>
      <c r="F10" s="27">
        <f>N(E10)-N(D10)</f>
        <v/>
      </c>
      <c r="G10" s="19">
        <f>IF(AND(N(D10)=0,N(E10)=0),"SIN DATO",IF(ROUND(F10,2)=0,"OK","REVISAR"))</f>
        <v/>
      </c>
      <c r="H10" s="21" t="inlineStr">
        <is>
          <t>Idem, o una deducción aplicada que no procede</t>
        </is>
      </c>
    </row>
    <row r="11">
      <c r="A11" s="17" t="n">
        <v>7</v>
      </c>
      <c r="B11" s="17" t="inlineStr">
        <is>
          <t>Facturas emitidas correlativas, sin huecos</t>
        </is>
      </c>
      <c r="C11" s="17" t="inlineStr">
        <is>
          <t>Las dos</t>
        </is>
      </c>
      <c r="D11" s="29" t="n"/>
      <c r="E11" s="29" t="n"/>
      <c r="F11" s="27">
        <f>N(E11)-N(D11)</f>
        <v/>
      </c>
      <c r="G11" s="19">
        <f>IF(AND(N(D11)=0,N(E11)=0),"SIN DATO",IF(ROUND(F11,2)=0,"OK","REVISAR"))</f>
        <v/>
      </c>
      <c r="H11" s="21" t="inlineStr">
        <is>
          <t>Un hueco en la serie hay que poder explicarlo</t>
        </is>
      </c>
    </row>
    <row r="12">
      <c r="A12" s="17" t="n">
        <v>8</v>
      </c>
      <c r="B12" s="17" t="inlineStr">
        <is>
          <t>Nóminas: 640+642 = 476+4751+465+460+478</t>
        </is>
      </c>
      <c r="C12" s="17" t="inlineStr">
        <is>
          <t>Las dos</t>
        </is>
      </c>
      <c r="D12" s="29" t="n"/>
      <c r="E12" s="29" t="n"/>
      <c r="F12" s="27">
        <f>N(E12)-N(D12)</f>
        <v/>
      </c>
      <c r="G12" s="19">
        <f>IF(AND(N(D12)=0,N(E12)=0),"SIN DATO",IF(ROUND(F12,2)=0,"OK","REVISAR"))</f>
        <v/>
      </c>
      <c r="H12" s="21" t="inlineStr">
        <is>
          <t>No se genera el asiento hasta que cuadre al céntimo</t>
        </is>
      </c>
    </row>
    <row r="13">
      <c r="A13" s="17" t="n">
        <v>9</v>
      </c>
      <c r="B13" s="17" t="inlineStr">
        <is>
          <t>Movimientos de banco sin papel</t>
        </is>
      </c>
      <c r="C13" s="17" t="inlineStr">
        <is>
          <t>Las dos</t>
        </is>
      </c>
      <c r="D13" s="29" t="n"/>
      <c r="E13" s="29" t="n"/>
      <c r="F13" s="27">
        <f>N(E13)-N(D13)</f>
        <v/>
      </c>
      <c r="G13" s="19">
        <f>IF(AND(N(D13)=0,N(E13)=0),"SIN DATO",IF(ROUND(F13,2)=0,"OK","REVISAR"))</f>
        <v/>
      </c>
      <c r="H13" s="21" t="inlineStr">
        <is>
          <t>Es IVA que hoy no te puedes deducir. Reclamar</t>
        </is>
      </c>
    </row>
    <row r="15">
      <c r="B15" s="5" t="inlineStr">
        <is>
          <t>Fiabilidad del dato</t>
        </is>
      </c>
      <c r="E15" s="38">
        <f>IF(COUNTIF(G5:G13,"REVISAR")&gt;0,"BAJA — hay "&amp;COUNTIF(G5:G13,"REVISAR")&amp;" cuadre(s) en rojo",IF(COUNTIF(G5:G13,"SIN DATO")&gt;0,"INCOMPLETA","ALTA"))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7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0" customWidth="1" min="3" max="3"/>
    <col width="14" customWidth="1" min="4" max="4"/>
    <col width="16" customWidth="1" min="5" max="5"/>
    <col width="18" customWidth="1" min="6" max="6"/>
    <col width="26" customWidth="1" min="7" max="7"/>
  </cols>
  <sheetData>
    <row r="1">
      <c r="A1" s="1" t="inlineStr">
        <is>
          <t>Maestros</t>
        </is>
      </c>
    </row>
    <row r="2">
      <c r="A2" s="2" t="inlineStr">
        <is>
          <t>Lo que distingue a cada sociedad. Dar de alta una empresa nueva es añadir sus filas aquí.</t>
        </is>
      </c>
    </row>
    <row r="4" ht="30" customHeight="1">
      <c r="A4" s="31" t="inlineStr">
        <is>
          <t>EMPRESA</t>
        </is>
      </c>
      <c r="B4" s="31" t="inlineStr">
        <is>
          <t>BANCO</t>
        </is>
      </c>
      <c r="C4" s="31" t="inlineStr">
        <is>
          <t>CUENTA</t>
        </is>
      </c>
      <c r="D4" s="31" t="inlineStr">
        <is>
          <t>SUBCUENTA</t>
        </is>
      </c>
      <c r="E4" s="31" t="inlineStr">
        <is>
          <t>TIPO</t>
        </is>
      </c>
      <c r="F4" s="31" t="inlineStr">
        <is>
          <t>CUENTA DE DUDAS</t>
        </is>
      </c>
      <c r="G4" s="31" t="inlineStr">
        <is>
          <t>NÓMINAS</t>
        </is>
      </c>
    </row>
    <row r="5">
      <c r="A5" s="17" t="inlineStr">
        <is>
          <t>RP</t>
        </is>
      </c>
      <c r="B5" s="17" t="inlineStr">
        <is>
          <t>CaixaBank</t>
        </is>
      </c>
      <c r="C5" s="17" t="inlineStr">
        <is>
          <t>7904</t>
        </is>
      </c>
      <c r="D5" s="17" t="inlineStr"/>
      <c r="E5" s="17" t="inlineStr">
        <is>
          <t>Corriente</t>
        </is>
      </c>
      <c r="F5" s="17" t="inlineStr">
        <is>
          <t>555000000</t>
        </is>
      </c>
      <c r="G5" s="17" t="inlineStr">
        <is>
          <t>00094 + 00095 + 00096</t>
        </is>
      </c>
    </row>
    <row r="6">
      <c r="A6" s="17" t="inlineStr">
        <is>
          <t>RP</t>
        </is>
      </c>
      <c r="B6" s="17" t="inlineStr">
        <is>
          <t>CaixaBank</t>
        </is>
      </c>
      <c r="C6" s="17" t="inlineStr">
        <is>
          <t>6108</t>
        </is>
      </c>
      <c r="D6" s="17" t="inlineStr"/>
      <c r="E6" s="17" t="inlineStr">
        <is>
          <t>Corriente</t>
        </is>
      </c>
      <c r="F6" s="17" t="inlineStr">
        <is>
          <t>555000000</t>
        </is>
      </c>
      <c r="G6" s="17" t="inlineStr"/>
    </row>
    <row r="7">
      <c r="A7" s="17" t="inlineStr">
        <is>
          <t>RP</t>
        </is>
      </c>
      <c r="B7" s="17" t="inlineStr">
        <is>
          <t>CaixaBank</t>
        </is>
      </c>
      <c r="C7" s="17" t="inlineStr">
        <is>
          <t>9254</t>
        </is>
      </c>
      <c r="D7" s="17" t="inlineStr"/>
      <c r="E7" s="17" t="inlineStr">
        <is>
          <t>Corriente</t>
        </is>
      </c>
      <c r="F7" s="17" t="inlineStr">
        <is>
          <t>555000000</t>
        </is>
      </c>
      <c r="G7" s="17" t="inlineStr"/>
    </row>
    <row r="8">
      <c r="A8" s="17" t="inlineStr">
        <is>
          <t>RP</t>
        </is>
      </c>
      <c r="B8" s="17" t="inlineStr">
        <is>
          <t>Bankinter</t>
        </is>
      </c>
      <c r="C8" s="17" t="inlineStr">
        <is>
          <t>4577</t>
        </is>
      </c>
      <c r="D8" s="17" t="inlineStr"/>
      <c r="E8" s="17" t="inlineStr">
        <is>
          <t>Corriente</t>
        </is>
      </c>
      <c r="F8" s="17" t="inlineStr">
        <is>
          <t>555000000</t>
        </is>
      </c>
      <c r="G8" s="17" t="inlineStr"/>
    </row>
    <row r="9">
      <c r="A9" s="17" t="inlineStr">
        <is>
          <t>RP</t>
        </is>
      </c>
      <c r="B9" s="17" t="inlineStr">
        <is>
          <t>Bankinter</t>
        </is>
      </c>
      <c r="C9" s="17" t="inlineStr">
        <is>
          <t>3317</t>
        </is>
      </c>
      <c r="D9" s="17" t="inlineStr"/>
      <c r="E9" s="17" t="inlineStr">
        <is>
          <t>Crédito</t>
        </is>
      </c>
      <c r="F9" s="17" t="inlineStr">
        <is>
          <t>555000000</t>
        </is>
      </c>
      <c r="G9" s="17" t="inlineStr"/>
    </row>
    <row r="10">
      <c r="A10" s="17" t="inlineStr">
        <is>
          <t>RP</t>
        </is>
      </c>
      <c r="B10" s="17" t="inlineStr">
        <is>
          <t>Sabadell</t>
        </is>
      </c>
      <c r="C10" s="17" t="inlineStr">
        <is>
          <t>2492</t>
        </is>
      </c>
      <c r="D10" s="17" t="inlineStr">
        <is>
          <t>572000005</t>
        </is>
      </c>
      <c r="E10" s="17" t="inlineStr">
        <is>
          <t>Corriente</t>
        </is>
      </c>
      <c r="F10" s="17" t="inlineStr">
        <is>
          <t>555000000</t>
        </is>
      </c>
      <c r="G10" s="17" t="inlineStr"/>
    </row>
    <row r="11">
      <c r="A11" s="17" t="inlineStr">
        <is>
          <t>PROIM</t>
        </is>
      </c>
      <c r="B11" s="17" t="inlineStr">
        <is>
          <t>Bankinter</t>
        </is>
      </c>
      <c r="C11" s="17" t="inlineStr">
        <is>
          <t>4584</t>
        </is>
      </c>
      <c r="D11" s="17" t="inlineStr">
        <is>
          <t>572000001</t>
        </is>
      </c>
      <c r="E11" s="17" t="inlineStr">
        <is>
          <t>Corriente</t>
        </is>
      </c>
      <c r="F11" s="17" t="inlineStr">
        <is>
          <t>555000002</t>
        </is>
      </c>
      <c r="G11" s="17" t="inlineStr">
        <is>
          <t>00110</t>
        </is>
      </c>
    </row>
    <row r="12">
      <c r="A12" s="17" t="inlineStr">
        <is>
          <t>PROIM</t>
        </is>
      </c>
      <c r="B12" s="17" t="inlineStr">
        <is>
          <t>Sabadell</t>
        </is>
      </c>
      <c r="C12" s="17" t="inlineStr">
        <is>
          <t>0595</t>
        </is>
      </c>
      <c r="D12" s="17" t="inlineStr">
        <is>
          <t>572000002</t>
        </is>
      </c>
      <c r="E12" s="17" t="inlineStr">
        <is>
          <t>Corriente</t>
        </is>
      </c>
      <c r="F12" s="17" t="inlineStr">
        <is>
          <t>555000002</t>
        </is>
      </c>
      <c r="G12" s="17" t="inlineStr"/>
    </row>
    <row r="13">
      <c r="A13" s="17" t="inlineStr">
        <is>
          <t>PROIM</t>
        </is>
      </c>
      <c r="B13" s="17" t="inlineStr">
        <is>
          <t>CaixaBank</t>
        </is>
      </c>
      <c r="C13" s="17" t="inlineStr">
        <is>
          <t>5218</t>
        </is>
      </c>
      <c r="D13" s="17" t="inlineStr">
        <is>
          <t>572000003</t>
        </is>
      </c>
      <c r="E13" s="17" t="inlineStr">
        <is>
          <t>Corriente</t>
        </is>
      </c>
      <c r="F13" s="17" t="inlineStr">
        <is>
          <t>555000002</t>
        </is>
      </c>
      <c r="G13" s="17" t="inlineStr"/>
    </row>
    <row r="14">
      <c r="A14" s="17" t="inlineStr">
        <is>
          <t>PROIM</t>
        </is>
      </c>
      <c r="B14" s="17" t="inlineStr">
        <is>
          <t>Bankinter</t>
        </is>
      </c>
      <c r="C14" s="17" t="inlineStr">
        <is>
          <t>3303</t>
        </is>
      </c>
      <c r="D14" s="17" t="inlineStr">
        <is>
          <t>572000004</t>
        </is>
      </c>
      <c r="E14" s="17" t="inlineStr">
        <is>
          <t>Póliza</t>
        </is>
      </c>
      <c r="F14" s="17" t="inlineStr">
        <is>
          <t>555000002</t>
        </is>
      </c>
      <c r="G14" s="17" t="inlineStr"/>
    </row>
    <row r="15">
      <c r="A15" s="17" t="inlineStr">
        <is>
          <t>PROIM</t>
        </is>
      </c>
      <c r="B15" s="17" t="inlineStr">
        <is>
          <t>CaixaBank</t>
        </is>
      </c>
      <c r="C15" s="17" t="inlineStr">
        <is>
          <t>3940</t>
        </is>
      </c>
      <c r="D15" s="17" t="inlineStr">
        <is>
          <t>572000005</t>
        </is>
      </c>
      <c r="E15" s="17" t="inlineStr">
        <is>
          <t>Póliza</t>
        </is>
      </c>
      <c r="F15" s="17" t="inlineStr">
        <is>
          <t>555000002</t>
        </is>
      </c>
      <c r="G15" s="17" t="inlineStr"/>
    </row>
    <row r="17">
      <c r="A17" s="2" t="inlineStr">
        <is>
          <t>Ojo: 572000005 es Sabadell 2492 en RP y CaixaBank 3940 en PROIM. Son planes contables distintos: nunca identifiques una cuenta por la subcuenta sola.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2026-09-19T15:41:58Z</dcterms:created>
  <dcterms:modified xsi:type="dcterms:W3CDTF">2026-09-19T15:41:59Z</dcterms:modified>
</cp:coreProperties>
</file>